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
    </mc:Choice>
  </mc:AlternateContent>
  <xr:revisionPtr revIDLastSave="0" documentId="13_ncr:1_{7D20F561-E112-447A-A01D-2B0350C689A1}" xr6:coauthVersionLast="47" xr6:coauthVersionMax="47" xr10:uidLastSave="{00000000-0000-0000-0000-000000000000}"/>
  <bookViews>
    <workbookView xWindow="1125" yWindow="1125" windowWidth="27135" windowHeight="13860" xr2:uid="{00000000-000D-0000-FFFF-FFFF00000000}"/>
  </bookViews>
  <sheets>
    <sheet name="Hoi take Data 2026"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4" l="1"/>
  <c r="A46" i="4" s="1"/>
  <c r="A43" i="4"/>
  <c r="A44" i="4" s="1"/>
  <c r="A42" i="4"/>
  <c r="A33" i="4"/>
  <c r="A34" i="4" s="1"/>
  <c r="A35" i="4" s="1"/>
  <c r="A36" i="4" s="1"/>
  <c r="A37" i="4" s="1"/>
  <c r="A38" i="4" s="1"/>
  <c r="A39" i="4" s="1"/>
  <c r="A40" i="4" s="1"/>
  <c r="A41" i="4" s="1"/>
  <c r="A32" i="4"/>
  <c r="A26" i="4"/>
  <c r="A27" i="4" s="1"/>
  <c r="A28" i="4" s="1"/>
  <c r="A29" i="4" s="1"/>
  <c r="A30" i="4" s="1"/>
  <c r="A31" i="4" s="1"/>
  <c r="A25" i="4"/>
  <c r="A24" i="4"/>
  <c r="A23" i="4"/>
  <c r="A21" i="4"/>
  <c r="A22" i="4" s="1"/>
  <c r="A20" i="4"/>
  <c r="A19" i="4"/>
  <c r="A18" i="4"/>
  <c r="A15" i="4"/>
  <c r="A16" i="4" s="1"/>
  <c r="A17" i="4" s="1"/>
  <c r="A14" i="4"/>
  <c r="A13" i="4"/>
  <c r="A12" i="4"/>
  <c r="A9" i="4"/>
  <c r="A10" i="4" s="1"/>
  <c r="A11" i="4" s="1"/>
  <c r="AD3" i="4"/>
  <c r="AC3" i="4"/>
  <c r="AB3" i="4"/>
  <c r="AA3" i="4"/>
  <c r="Z3" i="4"/>
  <c r="Y3" i="4"/>
  <c r="X3" i="4"/>
  <c r="U3" i="4"/>
  <c r="T3" i="4"/>
  <c r="A3" i="4"/>
  <c r="A4" i="4" s="1"/>
  <c r="A5" i="4" s="1"/>
  <c r="A6" i="4" s="1"/>
  <c r="A7" i="4" s="1"/>
  <c r="A8" i="4" s="1"/>
  <c r="AD2" i="4"/>
  <c r="AC2" i="4"/>
  <c r="AB2" i="4"/>
  <c r="AA2" i="4"/>
  <c r="Z2" i="4"/>
  <c r="Y2" i="4"/>
  <c r="X2" i="4"/>
  <c r="W2" i="4"/>
  <c r="V2" i="4"/>
  <c r="U2" i="4"/>
  <c r="T2" i="4"/>
  <c r="S2" i="4"/>
  <c r="S3" i="4" s="1"/>
  <c r="R2" i="4"/>
  <c r="V3" i="4" s="1"/>
  <c r="W3" i="4" l="1"/>
</calcChain>
</file>

<file path=xl/sharedStrings.xml><?xml version="1.0" encoding="utf-8"?>
<sst xmlns="http://schemas.openxmlformats.org/spreadsheetml/2006/main" count="733" uniqueCount="301">
  <si>
    <t>STT</t>
  </si>
  <si>
    <t>Ngày</t>
  </si>
  <si>
    <t>Bác Thắng</t>
  </si>
  <si>
    <t>PAGE</t>
  </si>
  <si>
    <t>Tên</t>
  </si>
  <si>
    <t>SĐT</t>
  </si>
  <si>
    <t>CAMP</t>
  </si>
  <si>
    <t>Insight</t>
  </si>
  <si>
    <t>Link</t>
  </si>
  <si>
    <t>trẻ hóa 0 tuổi</t>
  </si>
  <si>
    <t>Nguồn</t>
  </si>
  <si>
    <t>S.I.C</t>
  </si>
  <si>
    <t>CHIA CHO</t>
  </si>
  <si>
    <t>Ghi nhận tình trạng lần 1</t>
  </si>
  <si>
    <t>Ghi nhận tình trạng lần 2</t>
  </si>
  <si>
    <t>NOTE</t>
  </si>
  <si>
    <t>KHU VỰC</t>
  </si>
  <si>
    <t xml:space="preserve">Phân loại </t>
  </si>
  <si>
    <t>Kết quả</t>
  </si>
  <si>
    <t>Lead</t>
  </si>
  <si>
    <t>Follow</t>
  </si>
  <si>
    <t>Nét</t>
  </si>
  <si>
    <t>Tài chính yếu</t>
  </si>
  <si>
    <t>Quan tâm</t>
  </si>
  <si>
    <t>Tìm hiểu</t>
  </si>
  <si>
    <t>Tham khảo</t>
  </si>
  <si>
    <t>Gọi lại sau</t>
  </si>
  <si>
    <t>KLLD</t>
  </si>
  <si>
    <t>Missed</t>
  </si>
  <si>
    <t>Mai Anh</t>
  </si>
  <si>
    <t>Booking</t>
  </si>
  <si>
    <t>Show</t>
  </si>
  <si>
    <t>Close</t>
  </si>
  <si>
    <t xml:space="preserve">THÁNG </t>
  </si>
  <si>
    <t>Total Lead</t>
  </si>
  <si>
    <t>16/2/2026</t>
  </si>
  <si>
    <t>Hợi</t>
  </si>
  <si>
    <t>Ông Bà Ngoại</t>
  </si>
  <si>
    <t>tiểu đường</t>
  </si>
  <si>
    <t>https://www.facebook.com/share/1abEWXj8Uv/?mibextid=wwXIfr</t>
  </si>
  <si>
    <t>MKT</t>
  </si>
  <si>
    <t>XK 0 tuổi</t>
  </si>
  <si>
    <t>Hẹn qua tết, đang ở nước ngoài chưa về</t>
  </si>
  <si>
    <t xml:space="preserve">Hà Nội </t>
  </si>
  <si>
    <t>Khoa</t>
  </si>
  <si>
    <t>TỈNH</t>
  </si>
  <si>
    <t>Nghia Le</t>
  </si>
  <si>
    <t>TBG Sing</t>
  </si>
  <si>
    <t>https://www.facebook.com/share/1JR7g2cHmP/?mibextid=wwXIfr</t>
  </si>
  <si>
    <t>a có làm của Thái bằng dây dốn của con a, giờ a đang có khách, gọi lại sau, giọng SG, làm 2 lần rồi, tháng 3, tháng 7 năm ngoái</t>
  </si>
  <si>
    <t>TP.HCM</t>
  </si>
  <si>
    <t>Tỷ lệ chuyển đổi</t>
  </si>
  <si>
    <t>Trần Hoà</t>
  </si>
  <si>
    <t>https://www.facebook.com/share/1AgzPawnim/?mibextid=wwXIfr</t>
  </si>
  <si>
    <t>67t, ở Thái Nguyên, tiểu đường từ 2018, chỉ uống thuốc lá, tets vẫn 9. Có lịch hẹn mổ cốt sống do thoát vị ở viện 108, khi đó xuống thì mới qua pk được, có vẻ k chủ đôngn được</t>
  </si>
  <si>
    <t>XK Nhật</t>
  </si>
  <si>
    <t>Tran Hong Thuy</t>
  </si>
  <si>
    <t>https://www.facebook.com/share/18NcoYzFHj/?mibextid=wwXIfr</t>
  </si>
  <si>
    <t>Knm, knm, knm</t>
  </si>
  <si>
    <t>Trần Thuý</t>
  </si>
  <si>
    <t>https://www.facebook.com/share/1CQue59S8f/?mibextid=wwXIfr</t>
  </si>
  <si>
    <t>Xương khớp gối, cổ vai gáy lưng, điều trị nhiều, đã tiêm prp, ở các viện E, Bạch Mai, Hồng Ngọc. Do tiêm giảm đau nhiều nên suy thận, 56t, bận ở nhà trông cháu, phải tháng 4 mới lên khám được</t>
  </si>
  <si>
    <t>Hùng Vũ Đình</t>
  </si>
  <si>
    <t>https://www.facebook.com/share/1BuA4Jigwh/?mibextid=wwXIfr</t>
  </si>
  <si>
    <t>Nhầm</t>
  </si>
  <si>
    <t>Không nhu cầu</t>
  </si>
  <si>
    <t>Viet Nguyen</t>
  </si>
  <si>
    <t xml:space="preserve">TBG Nhật </t>
  </si>
  <si>
    <t>https://www.facebook.com/share/1E1mjDdvfB/?mibextid=wwXIfr</t>
  </si>
  <si>
    <t>Ở Triều Khúc, tiểu đường hơn 20n năm rồi, đang dùng thuốc, hẹn qua mùng 10 qua PK, tặng xnm</t>
  </si>
  <si>
    <t>knm</t>
  </si>
  <si>
    <t>Đỗ Thuật (cô Thuật)</t>
  </si>
  <si>
    <t>XK</t>
  </si>
  <si>
    <t>https://www.facebook.com/share/1Hyd3JQCsW/?mibextid=wwXIfr</t>
  </si>
  <si>
    <t xml:space="preserve">Đã add zalo, nhà ở Nguyễn Chí Thanh, bị khớp gối, hẹn ra tết lên thăm khám </t>
  </si>
  <si>
    <t>Binh Cao</t>
  </si>
  <si>
    <t>https://www.facebook.com/share/17xMPPTCLA/?mibextid=wwXIfr</t>
  </si>
  <si>
    <t>Nhầm, kqt</t>
  </si>
  <si>
    <t>Tuấn TA</t>
  </si>
  <si>
    <t>https://www.facebook.com/share/19rPXyATWC/?mibextid=wwXIfr</t>
  </si>
  <si>
    <t>Kqt gì</t>
  </si>
  <si>
    <t xml:space="preserve">Bác Thắng </t>
  </si>
  <si>
    <t>Nguyen Van Khanh Ha</t>
  </si>
  <si>
    <t>Camp trẻ hoá bác Thắng</t>
  </si>
  <si>
    <t>https://www.facebook.com/share/1GpDDVCfMh/?mibextid=wwXIfr</t>
  </si>
  <si>
    <t>Khách cũ hỏi lại</t>
  </si>
  <si>
    <t>Minh Phan</t>
  </si>
  <si>
    <t>https://www.facebook.com/share/18AeVLa4gn/?mibextid=wwXIfr</t>
  </si>
  <si>
    <t>Ở đường Bưởi, hơn 60t, goud, đau, đã dùng nmn viên, hỏi về tbg, hẹn ra tết có đợt khám thì qua ktra. Đã add zalo</t>
  </si>
  <si>
    <t>khách huỷ kb, chặn cuộc gọi, k hiểu kiểu gì</t>
  </si>
  <si>
    <t>bảo đi công tác rồi</t>
  </si>
  <si>
    <t>Phạm Huệ</t>
  </si>
  <si>
    <t>https://www.facebook.com/share/17xr56Ekgc/?mibextid=wwXIfr</t>
  </si>
  <si>
    <t>56t, ở Nghệ An, đau khớp gối, có tiêm HA ở 108, khám ở BM rồi. Gửi đc zalo sx qua pk</t>
  </si>
  <si>
    <t>huỷ lịch, người nhà có vc nên chưa ra khám được</t>
  </si>
  <si>
    <t>Nguyen Nguyendinh ( tên Đình Nguyên)</t>
  </si>
  <si>
    <t>Shibuya miền Nam</t>
  </si>
  <si>
    <t>https://www.facebook.com/share/17xtUxc2fj/?mibextid=wwXIfr</t>
  </si>
  <si>
    <t>Báo sức khoẻ đời sống, muốn kết hợp lm chương trình quảng cáo</t>
  </si>
  <si>
    <t>Bác Thắng miền Nam</t>
  </si>
  <si>
    <t>Trương Đức</t>
  </si>
  <si>
    <t>https://www.facebook.com/truongthuanduc</t>
  </si>
  <si>
    <t>Tiểu đường 26 năm, để chiều gọi lại sau, đang có khách chúc tết. Ở Hải Dương, ra tết có đi úc 7 tháng. Hỏi tài chính tbg làm ở Sing tầm 200-300tr. Có khả năng làm được, add zalo gửi đc</t>
  </si>
  <si>
    <t>Tien Tran</t>
  </si>
  <si>
    <t>https://www.facebook.com/2026tientran</t>
  </si>
  <si>
    <t>Ở Đà Nẵng, 49t, xương khớp gối, cổ vai gáy lưng. Hỏi giá 5-10-20-25tr. Gửi điqj chỉ, sx tg ra HN khám</t>
  </si>
  <si>
    <t>Lanh Lien</t>
  </si>
  <si>
    <t>https://www.facebook.com/share/17xVXxhSDU/?mibextid=wwXIfr</t>
  </si>
  <si>
    <t>59t, ở Bắc Ninh, tiểu đường 2-3 năm, đang điều trị ở bs Tuấn SCT Hoàng Ngân. Gửi địa chỉ zalo hẹn qua tv</t>
  </si>
  <si>
    <t>để hnao a qua dc a gọi</t>
  </si>
  <si>
    <t>Xuanhuong Nguyen</t>
  </si>
  <si>
    <t>https://www.facebook.com/share/1Ai3ZS3X86/?mibextid=wwXIfr</t>
  </si>
  <si>
    <t>83t, đã làm tbg tự thân, đã biết đã hiểu, muốn làm tbg 0t, add zalo gửi địa chỉ, nhà ở Thanh Xuân, vẫn tự đi lại. Rất quan tâm</t>
  </si>
  <si>
    <t>đã lên pk, ở royal city, sn 1943, bs Dũng tv, muốn đi làm tbg sớm, gửi chương trình</t>
  </si>
  <si>
    <t>k có hợp đồng nên k sử dụng</t>
  </si>
  <si>
    <t>Bà Ngoại</t>
  </si>
  <si>
    <t>https://www.facebook.com/share/1EGSRJNSEy/?mibextid=wwXIfr</t>
  </si>
  <si>
    <t>bác Thắng</t>
  </si>
  <si>
    <t>71t, ở Long Biên, thoái hoá đau 2 tháng nay, k gặp đc gối, trước siêu âm ở 108 có dịch khớp, vẫn tập yoga, đạp xe. Add zalo gửi đia chỉ sx qua pk</t>
  </si>
  <si>
    <t>Nguyễn Tuy</t>
  </si>
  <si>
    <t>https://www.facebook.com/share/1Mrw8q5cXP/?mibextid=wwXIfr</t>
  </si>
  <si>
    <t>ở Đội Cấn, hơn 70t, nhiều bệnh lý, hẹn sáng mai qua PK, tặng xnm, thăm khám bs, tư vấn liệu trình TBG 0t, có biết qua về liệu pháp tbg cuống rốn</t>
  </si>
  <si>
    <t>Thanh Trung</t>
  </si>
  <si>
    <t>https://www.facebook.com/share/18NaWnirSX/?mibextid=wwXIfr</t>
  </si>
  <si>
    <t>68t, ở Đống Đa, mới tiểu đường, đang dùng thuốc, cx k biết rõ, bác sỹ khám 1 năm 1 lần. hẹn sang tuần sau mang kqxn gần đây lên để bs tư vấn, chưa biết về các liệu pháp TBG</t>
  </si>
  <si>
    <t>Nga Vũ</t>
  </si>
  <si>
    <t>https://www.facebook.com/share/1KWdBkTMwm/?mibextid=wwXIfr</t>
  </si>
  <si>
    <t>41t, ở Thanh Liệt, quan tâm trẻ hoá tế bào, làn da, có bảo hiểm, gửi zalo đc, mời qua pk</t>
  </si>
  <si>
    <t>Nguyễn Thị Phấn</t>
  </si>
  <si>
    <t>https://www.facebook.com/share/17tsTizApA/?mibextid=wwXIfr</t>
  </si>
  <si>
    <t>Hơn 60 tuổi bị tiểu đường hon 10 năm chỉ số luc cao lúc thấp dao động 7-10, hỏi chi phí 100 tr thì cao quá , báo metaboot 30-50 tr thì dùng đc, gửi thông tin qua zalo</t>
  </si>
  <si>
    <t>Duong Nguyen Van</t>
  </si>
  <si>
    <t>Tôi bị thái hóa 2khớp gối và rách sụn chêm bên trái thì phải tiêm mất mấy mũi và hết bao nhiêu tiền ? Và thời gian được bao lâu thì phải tiêm lại mong bv cho tôi biết với ạ</t>
  </si>
  <si>
    <t>knc</t>
  </si>
  <si>
    <t>https://www.facebook.com/duong.nguyenvan.1042032</t>
  </si>
  <si>
    <t>ở Quảng Ninh, 57t, thoái hoá khớp gối, gửi webside, đại chỉ, để lên thăm khám</t>
  </si>
  <si>
    <t>Diep Ly</t>
  </si>
  <si>
    <t>https://www.facebook.com/tuoimoithanhcong4</t>
  </si>
  <si>
    <t>đang họp, gọi lại sau, knm</t>
  </si>
  <si>
    <t>Minhphượng Nguyễn</t>
  </si>
  <si>
    <t>https://www.facebook.com/minhphuong.nguyen.886872</t>
  </si>
  <si>
    <t>ở Xuân Mai, thoái hoá cổ vay gáy, gối, gửi địa chỉ, hnao qua HN thì qua PK</t>
  </si>
  <si>
    <t>Quét Inbox</t>
  </si>
  <si>
    <t>Loan Lê</t>
  </si>
  <si>
    <t>https://www.facebook.com/loan.le.286691</t>
  </si>
  <si>
    <t>Le Dung</t>
  </si>
  <si>
    <t>Tôi bị tiểu đường 15 năm Hba1c trên dưới 8.với pháp tế bào gốc hiệu quả như thế nào và chi phí bao nhiêu 1 đợt điều trị?có thuốc viên uống không</t>
  </si>
  <si>
    <t>https://www.facebook.com/dungnt.lehung</t>
  </si>
  <si>
    <t>lớn tuổi rồi, k mạnh kinh tế, cũng làm ngành y, thôi nhiều tiền, nói về nmn 9tr cx thôi để cô tìm hiểu</t>
  </si>
  <si>
    <t xml:space="preserve">Thuý Hằng
</t>
  </si>
  <si>
    <t>https://www.facebook.com/share/1DBHY8xUE3/?mibextid=wwXIfr</t>
  </si>
  <si>
    <t xml:space="preserve">A goin rồi, chị ở Thái Nguyên, ck ở HN, qt tìm hiểu tbg tự thân Nhật, muốn đi Nhật làm, sống ở nước ngoài, vừa tết về, hơn 60t, add zalo tv tiếp, hẹn lịch
</t>
  </si>
  <si>
    <t xml:space="preserve">Hoàng Thị Kim Ngân             </t>
  </si>
  <si>
    <t xml:space="preserve">Chị bị tiểu đường 5 năm rồi, thường xuyên kiểm tra, đường gần đây là 6.8, chị có dùng thuốc và thực phẩm chức năng, Ở HN , chị đi HN tiện hơn     </t>
  </si>
  <si>
    <t xml:space="preserve"> https://www.facebook.com/hoang.thi.kim.ngan.322213      </t>
  </si>
  <si>
    <t xml:space="preserve">là bs sản, ở Quảng Bình, tiểu đường, da liễu, 1 năm khám 1 lần, ngày 4/3 ra bv 108 khám, sau đó qua bên mình, và cũng có lịch đi khám da liễu,  add zalo gửi địa chỉ 4/3 c lên </t>
  </si>
  <si>
    <t>Cao Anh Đức</t>
  </si>
  <si>
    <t>https://www.facebook.com/anhduc0709</t>
  </si>
  <si>
    <t>ở Long Biên, 47tuổi, tiểu đường 5-6 năm, chỉ số hơn 7.5, theo dõi bs Long ở viện nội tiết TW, hỏi về giá tbg, báo từ 50-100-200tr, gửi zalo tt và nghiên cứu quanPK</t>
  </si>
  <si>
    <t>Nguyen Ba Đồng</t>
  </si>
  <si>
    <t>https://www.facebook.com/nguyen.ba.ong.708942</t>
  </si>
  <si>
    <t>ở Nghệ An, gần 50t, bị vảy nến, giờ đau xương khớp, đã tiêm prp 1 lần rồi nhưng k hiệu quả xong thôi, hỏi giá, hiệu quả, gửi địa chỉ, hẹn qua PK. thăm khám</t>
  </si>
  <si>
    <t>Minh Nguyen</t>
  </si>
  <si>
    <t>tự inbox</t>
  </si>
  <si>
    <t>Tôi muốn hiểu thêm về những ưu đãi đặc biệt của PGS Thắng vs người Việt?</t>
  </si>
  <si>
    <t>https://www.facebook.com/minh.nguyen.530215</t>
  </si>
  <si>
    <t>hỏi giá, báo trên 50tr, nhưng k có điều kiện, thôi nhé</t>
  </si>
  <si>
    <t>Bà Hồng</t>
  </si>
  <si>
    <t xml:space="preserve">Đã từng chụp GT ở bệnh viện Melt Tech cách đây mấy năm biết mình thoái hóa 2 khớp gối xương thắt lưng và các đốt sống cổ đều đặn chữa thuốc tây do bác sĩ phó giáo sư tiến sĩ theo dõi hướng dẫn đạp thêm xe tại chỗ nhưng không tiến bộ được Tôi chưa đến 80 tuổi bị thoái hóa gối từ nhiều năm nay hiện tại tôi bước đi rất chậm không phải hoàn toàn đau khớp mà hình như cơ có vấn đề gì nên chân tôi rất yếu chỉ đi được trong nhà ra ngoài đường là bước rất khó không có sức lực để bước cho cả 2 chân chứ không phải do 2 gối thưa bác sĩ
</t>
  </si>
  <si>
    <t>https://www.facebook.com/ba.hong.393763</t>
  </si>
  <si>
    <t>hỏi điều trị cơ, đang điều trị chỗ bv đh y rồi</t>
  </si>
  <si>
    <t>Trần Quyên</t>
  </si>
  <si>
    <t>https://www.facebook.com/tran.quyen.272001</t>
  </si>
  <si>
    <t>knm, knm</t>
  </si>
  <si>
    <t>Mimh Xoa</t>
  </si>
  <si>
    <t>https://www.facebook.com/mimh.xoa</t>
  </si>
  <si>
    <t>đang bận, gọi lại sau</t>
  </si>
  <si>
    <t>Thanh Huong Le</t>
  </si>
  <si>
    <t>https://www.facebook.com/thanh.huong.le.630794</t>
  </si>
  <si>
    <t>Hue Duong</t>
  </si>
  <si>
    <t>https://www.facebook.com/hue.duong.37017794</t>
  </si>
  <si>
    <t>Nguyen Thi Ngan Thanh</t>
  </si>
  <si>
    <t>https://www.facebook.com/nguyenthingan.thanh</t>
  </si>
  <si>
    <t>3/3: 9h tối gọi lại</t>
  </si>
  <si>
    <t>Vô Thường</t>
  </si>
  <si>
    <t>Số zalo của tôi bs cho tôi xin thông tin cách điều trị tiểu đường và chi phí ạ tôi không tiện nghe máy</t>
  </si>
  <si>
    <t>https://www.facebook.com/diep.phong.731</t>
  </si>
  <si>
    <t>3/3: ở hn 56t bị tiền tiểu đường, ha thấp qtam tbg 0t để cải thiện đường glu. hẹn qua pk nhưng đang ở mức tìm hiểu thôi</t>
  </si>
  <si>
    <t>Hoa Lê</t>
  </si>
  <si>
    <t>https://www.facebook.com/hoa.le.69687</t>
  </si>
  <si>
    <t>Minh Sự</t>
  </si>
  <si>
    <t>tôi 80t bị tiểu đường 4 năm,đã gửi số a Hợi, khách đã kb tv qua zalo</t>
  </si>
  <si>
    <t>https://www.facebook.com/hoang.hoang.524678</t>
  </si>
  <si>
    <t>hỏi cho bà 80t, tiểu đường 5 năm, hay tiểu đêm, xương khớp, hay run tay. mời lên pk</t>
  </si>
  <si>
    <t xml:space="preserve">Leo Nguyen       </t>
  </si>
  <si>
    <t xml:space="preserve">   TBG                TIỂU ĐƯỜNG BÁC THẮNG        </t>
  </si>
  <si>
    <t xml:space="preserve">https://www.facebook.com/nguuyen.tienxuat        </t>
  </si>
  <si>
    <t>mai gọi lại</t>
  </si>
  <si>
    <t>Oanh Nguyen Thi Kim</t>
  </si>
  <si>
    <t>https://www.facebook.com/oanh.nguyen.thi.kim.278107</t>
  </si>
  <si>
    <t>64t, tiểu đường 2 năm, đã đóng tiền làm tbg ở mescell, nhưng chưa tin tưởng nên đang pending, có truyền exosome khô và tươi rồi, nhưng k hiệu quả rõ, bị mỡ gan,men gan, có tìm hiểu về tbg gs Phan Toàn Thắng, đã tv sang Sing làm, bị thoái hoá cổ vai gáy, thoát vị lưng, hỏi pp điều trị, đang ở Vũng Tàu nghỉ dưỡng, đến giữa tháng 4 mới ra HN thì lên PK</t>
  </si>
  <si>
    <t>Bình La</t>
  </si>
  <si>
    <t>Bác bị xương khớp và suy giãn tĩnh mạch,ăn uống bình thường,k tiểu đường,huyết áp k cao,ngủ k sâu, lạng sơn</t>
  </si>
  <si>
    <t>https://www.facebook.com/binh.la.36963</t>
  </si>
  <si>
    <t xml:space="preserve">ở Lạng Sơn, 83t, giãn tĩnh mạch, xương khớp, ít xuống HN khám, lấy thuốc lang và khám ở Đa Khoa Lạng Sơn thôi, </t>
  </si>
  <si>
    <t>Tiến Lê</t>
  </si>
  <si>
    <t>zalo khách chặn người lạ, đã gửi số a Hợi</t>
  </si>
  <si>
    <t>https://www.facebook.com/tien.le.251705</t>
  </si>
  <si>
    <t>đã add zalo, đã dùng nmn viên của Hàn, đang bị xương khớp, mời qua PK</t>
  </si>
  <si>
    <t>Phương Võ</t>
  </si>
  <si>
    <t>hach ở Quảng Binh muốn xin đia chỉ xuong thăm khám</t>
  </si>
  <si>
    <t>https://www.facebook.com/phuong.vo.696182</t>
  </si>
  <si>
    <t>Ở Quảng Bình, hỏi cho chị gái 75t, tiểu đường, hỏi giá 50-200-300tr. Đã add zalo gửi địa chỉ, hẹn qua thăm khám</t>
  </si>
  <si>
    <t>Nguyễn Hương Giang</t>
  </si>
  <si>
    <t>https://www.facebook.com/nguyenhuonggiangkhph</t>
  </si>
  <si>
    <t>bị thoái hoá chất trắng, đang phải nằm viện ở Lào Cai, chưa đi được</t>
  </si>
  <si>
    <t>Nguyễn Thị Vân</t>
  </si>
  <si>
    <t>https://www.facebook.com/nguyen.thi.van.378717</t>
  </si>
  <si>
    <t>5năm, 70t, tiêm insulin 30ml, ở NGhệ An, tháng 4, tháng 5 mới có việc ra HN thì mới ra được</t>
  </si>
  <si>
    <t>Minhsang Dang</t>
  </si>
  <si>
    <t>đau đầu gối bị đau 5-6 tháng, điều trị đông y không đỡ, tây y uống, tiêm đỡ, đi là đau, 73 tuổi, nghệ an,</t>
  </si>
  <si>
    <t>https://www.facebook.com/minhsang.dang.948</t>
  </si>
  <si>
    <t>ở Ninh Bình, tiểu đường, đang tiêm insulin, kêu xak đi dc, khi nào đi dc sẽ điện</t>
  </si>
  <si>
    <t>Tri Nguyen</t>
  </si>
  <si>
    <t>Đau vai gáy thoái hoá xương cổ đau lưng thoái hoá cột sống</t>
  </si>
  <si>
    <t>https://www.facebook.com/tri.nguyen.504070</t>
  </si>
  <si>
    <t>chỉ muốn uống thuốc xương khớp thôi, ở Hà Tĩnh, k ra được</t>
  </si>
  <si>
    <t>Phuong Loan Nguyen</t>
  </si>
  <si>
    <t>https://www.facebook.com/share/17j5m63oTx/?mibextid=wwXIfr</t>
  </si>
  <si>
    <t>ở Ngã tư sở, hơn 60t, xương khớp gối, đã tiêm PRP hơn 2tr, hẹn thứ 2 16/3 qua bs tv, mang hồ sơ qua</t>
  </si>
  <si>
    <t>tiếc tiền, vì đã tiêm PRP hết mấy chục triệu mà k thấy hiệu quả, nên cx k dám chi tiêu tiếp</t>
  </si>
  <si>
    <t>Phương Lan Nguyễn</t>
  </si>
  <si>
    <t>https://www.facebook.com/share/18qZ4FfvDm/?mibextid=wwXIfr</t>
  </si>
  <si>
    <t>ck 77t, tiểu đường 30năm, tiêm insulin, chưa biết liệu pháp ntn-- phải qua PK. chưa xác định được thời gian nào đi được,mchir hỏi vậy thôi. ở Hoàng Đạo Thuý</t>
  </si>
  <si>
    <t>tuần sau gọi lại đầu tháng 6</t>
  </si>
  <si>
    <t>Hoàng Sáu</t>
  </si>
  <si>
    <t>https://www.facebook.com/aothiuc.841490</t>
  </si>
  <si>
    <t>xơ gan, viêm gan viruts, hỏi muốn tư vấn tbg tái tạo mô gan, nhưng chưa xác định dc tg nào lên pk, chỉ biết thế thôi khi nào lên dc thì gọi. ở Thái Nguyên</t>
  </si>
  <si>
    <t>Viet Binh Nguyen</t>
  </si>
  <si>
    <t>hỏi cho người nhà bị Gối, bà thỉnh thoảng lưng</t>
  </si>
  <si>
    <t>https://www.facebook.com/viet.binh.nguyen.109215</t>
  </si>
  <si>
    <t>hỏi vặn vẹo, phải tư vấn trước mới qua. không tư vấn thì c k có thời gian qua đâu. không phải gọi cho chị nữa</t>
  </si>
  <si>
    <t>Phan Thi Hang</t>
  </si>
  <si>
    <t>khach đặc lịch , đen p khám, nếu mẹ chỉ rảnh sẽ đến chiều này luôn , khách hỏi nhiều về quy trình nhiêu. không hỏi về kết quả , biết giá 12k$ bết NMN đang lam ở ben khác mỗi lần tiêm bap 150mg giá hơn 10tr , cẩn thận khácg này</t>
  </si>
  <si>
    <t>https://www.facebook.com/phan.hang.3950</t>
  </si>
  <si>
    <t>mẹ tiểu đường, để gọi mẹ qua dc luôn k</t>
  </si>
  <si>
    <t>mai gọi lại hẹn lịch</t>
  </si>
  <si>
    <t>đã chốt nmn, đang tìm hiểu tbg</t>
  </si>
  <si>
    <t>Nguyễn Lien</t>
  </si>
  <si>
    <t>tình trạng loãng xương , thoái hóa sớm . Và gai gót chân , thoái hóa khớp gối</t>
  </si>
  <si>
    <t>https://www.facebook.com/nguyen.lien.376104</t>
  </si>
  <si>
    <t>ở Hoà Bình, qua được sẽ điện, chưa đặt lịch trước được</t>
  </si>
  <si>
    <t>Khách nhắn lại : 12 nghìn s đổi ra tiền việt là bao nhiêu Bác Sĩ . Tôi tình trạng loãng xương , thoái hóa sớm hơn so với tuổi . Nhưng chữa trị và rèn luyện thân thể . Tập yoga , đi bộ , chạy bộ nhẹ nhàng . Được 13 năm nay ko ốm và đau xương  nữa . Nhưng gần 2 tháng nay thấy đau khớp gối và đi lại bất tiện , cô vào duỗi ra kêu lách cách . Vậy làm như nào . Bác sĩ tư vấn với ạ</t>
  </si>
  <si>
    <t>Mai Lương</t>
  </si>
  <si>
    <t>Tôi cần tư vấn dịch vụ về tế bào gốc ạ</t>
  </si>
  <si>
    <t>https://www.facebook.com/mai.luong.559434</t>
  </si>
  <si>
    <t>ở Thanh Hoá, chưa biết nhiều tt sp, hỏi sản phẩm bao nhiêu để dùng, hỏi có sẵn k</t>
  </si>
  <si>
    <t>Meijibio</t>
  </si>
  <si>
    <t>Xuân Lan</t>
  </si>
  <si>
    <t>page Meijibio, quan tâm TBG, ở HCM</t>
  </si>
  <si>
    <t xml:space="preserve">đã biết tbg, hỏi tbg đã dc bộ y tế cho phép chưa, hỏi là làm ở đâu, </t>
  </si>
  <si>
    <t>Chị Nga</t>
  </si>
  <si>
    <t>Cô bị tiểu đường 5 năm rồi, HbA1c 6.8 đang kiểm soát tốt chưa bị biến chứng. Đang dùng thuốc mỗi ngày ( bác sĩ riêng kê ) và thuốc mỡ máu. Cô đã có tìm hiểu về tbg rồi, cô thường trống lịch buổi chiều buổi sáng cô bận đi châm cứu. Sale gọi báo lịch Hẹn cô thăm khám với Bác Dương nha ( có báo lịch 14h30 2/4 cô đồng ý rồi )</t>
  </si>
  <si>
    <t>https://www.facebook.com/share/1Hm8zqCN4N/?mibextid=wwXIfr</t>
  </si>
  <si>
    <t>hẹn lịch lên gặp bs Dương,</t>
  </si>
  <si>
    <t>My Nguyễn</t>
  </si>
  <si>
    <t>qt cho bố mẹ sn 1972, xương khớp, đã tv, nhắn địa chỉ zalo, qua tuần tới khám</t>
  </si>
  <si>
    <t>Vũ Thị Lý</t>
  </si>
  <si>
    <t xml:space="preserve">TẾ BÀO GỐC “0 TUỔI” – VÌ SAO ĐƯỢC QUAN TÂM? </t>
  </si>
  <si>
    <t>https://www.facebook.com/vu.thi.ly.708920</t>
  </si>
  <si>
    <t>ở Thái Bình, muốn lưu trữ cuốn rốn của cháu tháng 9 sinh, chị có vấn đề xương khớp, người nhà có vấn đề gan, hỏi rồi sắp xếp qua tìm hiểu sử dụng.</t>
  </si>
  <si>
    <t>Mãi Mãi</t>
  </si>
  <si>
    <t xml:space="preserve"> PHÒNG KHÁM TẠI MALAYSIA - BƯỚC ĐI CHIẾN LƯỢC MỞ RỘNG QUYỀN LỢI CHĂM SÓC SỨC KHỎE CHO NGƯỜI VIỆT</t>
  </si>
  <si>
    <t>Sức khỏe thì bình thường nhưng muốn truyền tế bào gốc thì tư vấn cho tôi thế nào</t>
  </si>
  <si>
    <t>https://www.facebook.com/hai.huynh.37669</t>
  </si>
  <si>
    <t>60t, ở HP, tiểu đường, huyết áp, có làm tbg nhiều lần ở nước ngoài rồi. có hỏi giá hơn 300tr, 450triệu tế bào. tuần này đi SG cuối tuần về, hẹn sang tuần sau lên khám trực tiếp</t>
  </si>
  <si>
    <t>Emily Tran</t>
  </si>
  <si>
    <t>https://www.facebook.com/emily.tran.694729</t>
  </si>
  <si>
    <t>ở Cầu Giấy, quan tâm tìm hiểu có nhóm bạn muốn tìm hiểu đi Nhật làm TBG, đã báo giá hơn 10.000$</t>
  </si>
  <si>
    <t>sau thứ 7 29.05, tuần này chị đang quyết toán thuế</t>
  </si>
  <si>
    <t>Nguyệt Lương</t>
  </si>
  <si>
    <t xml:space="preserve">TẾ BÀO GỐC TỪ MÀNG CUỐNG RỐN – HƯỚNG TIẾP CẬN MỚI CHO PHỤC HỒI SỨC KHỎE </t>
  </si>
  <si>
    <t>https://www.facebook.com/nguyet.luong.866967</t>
  </si>
  <si>
    <t>hơn 40t, ở Thường Tín, mất ngủ từ khi sinh em bé, 20 năm rồi, chữa nhiều pp chưa khỏi. add zalo gửi địa chỉ qua pk.</t>
  </si>
  <si>
    <t xml:space="preserve"> chưa sx lên được, bận nhiều cv</t>
  </si>
  <si>
    <t>Nguyen Ngoc Thanh</t>
  </si>
  <si>
    <t xml:space="preserve">B Sỹ cho em hỏi , tế bào bên mình có thể chữa suy thận không ?
</t>
  </si>
  <si>
    <t>https://www.facebook.com/nguyen.ngocthanh.750331</t>
  </si>
  <si>
    <t>Ck suy thận gd 2, có bạn làm tbg Nhật rồi nhưng k tốt, đang tìm hiểu làm tbg 0t, tài chính tốt, đã gửi tt, hẹn qua lễ lên mang hs qua bs tv</t>
  </si>
  <si>
    <t>dự định khám ở Hồng Ngọc trước rồi qua</t>
  </si>
  <si>
    <t>cbi cưới con nên năm nay chưa làm</t>
  </si>
  <si>
    <t>Nguyễn Thị Ngọc Oanh</t>
  </si>
  <si>
    <t>MỘT BƯỚC ĐI CHIẾN LƯỢC – MỘT TRẢI NGHIỆM KHÁC BIỆT</t>
  </si>
  <si>
    <t>https://www.facebook.com/share/18eUBqLLjX/?mibextid=wwXIfr</t>
  </si>
  <si>
    <t>Viêm gan B, nhà có gen, nhiều ng bị. Có biết gs Thắng nghiên cứu làm tbg ở Singapore. 56t, hỏi tbg có tác dụng vs tóc bạc k. Đã tv làm tbg 0t và làm nmn. Hẹn qua lễ qua pk</t>
  </si>
  <si>
    <t>15/06</t>
  </si>
  <si>
    <t>hotline</t>
  </si>
  <si>
    <t>Phạm Thị Hòa</t>
  </si>
  <si>
    <t>088 9089889</t>
  </si>
  <si>
    <t>Check thông tin và gọi khách này nha anh. Gọi vô hotline hổ chị muốn tìm hiểu TBG bác Thắng.  ạ</t>
  </si>
  <si>
    <t>ut tử cung 3C 2 năm trước, mất ngủ 4 năm, đã dùng tbg Việt nhật ở Cổ Linh, của bs đh y, muốn nâng cao hệ miễn dịch, và mất ngủ, trước có bạn quen GS Thắng, đã có lần gọi cho GS Thắng để tư vấn rồi. trc làm cán bộ quận, ở Hà Đông, hẹn thứ 4 ngày 17/06 qua thăm khám, sau đó thu hs gặp gs Thắng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</si>
</sst>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quot;/&quot;m&quot;/&quot;yyyy"/>
    <numFmt numFmtId="165" formatCode="dd&quot;/&quot;mm"/>
    <numFmt numFmtId="167" formatCode="mm/dd"/>
    <numFmt numFmtId="168" formatCode="dd/mm/yyyy"/>
  </numFmts>
  <fonts count="20" x14ac:knownFonts="1">
    <font>
      <sz val="10"/>
      <color rgb="FF000000"/>
      <name val="Arial"/>
      <scheme val="minor"/>
    </font>
    <font>
      <b/>
      <sz val="10"/>
      <color theme="1"/>
      <name val="Oswald"/>
    </font>
    <font>
      <sz val="10"/>
      <color theme="1"/>
      <name val="Arial"/>
      <family val="2"/>
    </font>
    <font>
      <sz val="11"/>
      <color theme="1"/>
      <name val="Arial"/>
      <family val="2"/>
    </font>
    <font>
      <b/>
      <sz val="10"/>
      <color theme="1"/>
      <name val="Arial"/>
      <family val="2"/>
    </font>
    <font>
      <u/>
      <sz val="10"/>
      <color rgb="FF1155CC"/>
      <name val="Arial"/>
      <family val="2"/>
    </font>
    <font>
      <b/>
      <sz val="12"/>
      <color theme="1"/>
      <name val="Arial"/>
      <family val="2"/>
    </font>
    <font>
      <sz val="10"/>
      <color theme="1"/>
      <name val="Arial"/>
      <family val="2"/>
      <scheme val="minor"/>
    </font>
    <font>
      <sz val="10"/>
      <color rgb="FF0A53A8"/>
      <name val="Arial"/>
      <family val="2"/>
    </font>
    <font>
      <u/>
      <sz val="10"/>
      <color rgb="FF1155CC"/>
      <name val="Arial"/>
      <family val="2"/>
    </font>
    <font>
      <u/>
      <sz val="10"/>
      <color rgb="FF0000FF"/>
      <name val="Arial"/>
      <family val="2"/>
    </font>
    <font>
      <u/>
      <sz val="11"/>
      <color rgb="FF1155CC"/>
      <name val="Arial"/>
      <family val="2"/>
    </font>
    <font>
      <b/>
      <sz val="12"/>
      <color rgb="FF000000"/>
      <name val="Roboto"/>
    </font>
    <font>
      <sz val="10"/>
      <color rgb="FFB10202"/>
      <name val="Arial"/>
      <family val="2"/>
    </font>
    <font>
      <sz val="12"/>
      <color theme="1"/>
      <name val="Segoe UI Historic"/>
      <family val="2"/>
    </font>
    <font>
      <u/>
      <sz val="12"/>
      <color rgb="FF0000FF"/>
      <name val="Segoe UI Historic"/>
      <family val="2"/>
    </font>
    <font>
      <sz val="9"/>
      <color rgb="FF000000"/>
      <name val="Arial"/>
      <family val="2"/>
    </font>
    <font>
      <u/>
      <sz val="10"/>
      <color rgb="FF0000FF"/>
      <name val="Arial"/>
      <family val="2"/>
    </font>
    <font>
      <sz val="10"/>
      <color rgb="FF000000"/>
      <name val="Arial"/>
      <family val="2"/>
      <scheme val="minor"/>
    </font>
    <font>
      <sz val="11"/>
      <color rgb="FF081B3A"/>
      <name val="Arial"/>
      <family val="2"/>
    </font>
  </fonts>
  <fills count="10">
    <fill>
      <patternFill patternType="none"/>
    </fill>
    <fill>
      <patternFill patternType="gray125"/>
    </fill>
    <fill>
      <patternFill patternType="solid">
        <fgColor rgb="FF6FA8DC"/>
        <bgColor rgb="FF6FA8DC"/>
      </patternFill>
    </fill>
    <fill>
      <patternFill patternType="solid">
        <fgColor rgb="FFFFFFFF"/>
        <bgColor rgb="FFFFFFFF"/>
      </patternFill>
    </fill>
    <fill>
      <patternFill patternType="solid">
        <fgColor rgb="FFFF00FF"/>
        <bgColor rgb="FFFF00FF"/>
      </patternFill>
    </fill>
    <fill>
      <patternFill patternType="solid">
        <fgColor rgb="FF4A86E8"/>
        <bgColor rgb="FF4A86E8"/>
      </patternFill>
    </fill>
    <fill>
      <patternFill patternType="solid">
        <fgColor rgb="FFA2C4C9"/>
        <bgColor rgb="FFA2C4C9"/>
      </patternFill>
    </fill>
    <fill>
      <patternFill patternType="solid">
        <fgColor rgb="FFEA9999"/>
        <bgColor rgb="FFEA9999"/>
      </patternFill>
    </fill>
    <fill>
      <patternFill patternType="solid">
        <fgColor rgb="FFEFEFEF"/>
        <bgColor rgb="FFEFEFEF"/>
      </patternFill>
    </fill>
    <fill>
      <patternFill patternType="solid">
        <fgColor rgb="FFFFFF00"/>
        <bgColor rgb="FFFFFF00"/>
      </patternFill>
    </fill>
  </fills>
  <borders count="1">
    <border>
      <left/>
      <right/>
      <top/>
      <bottom/>
      <diagonal/>
    </border>
  </borders>
  <cellStyleXfs count="1">
    <xf numFmtId="0" fontId="0" fillId="0" borderId="0"/>
  </cellStyleXfs>
  <cellXfs count="47">
    <xf numFmtId="0" fontId="0" fillId="0" borderId="0" xfId="0"/>
    <xf numFmtId="0" fontId="1" fillId="2" borderId="0" xfId="0" applyFont="1" applyFill="1" applyAlignment="1">
      <alignment wrapText="1"/>
    </xf>
    <xf numFmtId="164" fontId="2" fillId="3" borderId="0" xfId="0" applyNumberFormat="1" applyFont="1" applyFill="1" applyAlignment="1">
      <alignment horizontal="right"/>
    </xf>
    <xf numFmtId="165" fontId="1" fillId="2" borderId="0" xfId="0" applyNumberFormat="1" applyFont="1" applyFill="1" applyAlignment="1">
      <alignment wrapText="1"/>
    </xf>
    <xf numFmtId="0" fontId="3" fillId="3" borderId="0" xfId="0" applyFont="1" applyFill="1"/>
    <xf numFmtId="0" fontId="2" fillId="0" borderId="0" xfId="0" applyFont="1"/>
    <xf numFmtId="1" fontId="4" fillId="2" borderId="0" xfId="0" applyNumberFormat="1" applyFont="1" applyFill="1" applyAlignment="1">
      <alignment horizontal="center" wrapText="1"/>
    </xf>
    <xf numFmtId="0" fontId="2" fillId="0" borderId="0" xfId="0" applyFont="1" applyAlignment="1">
      <alignment horizontal="right"/>
    </xf>
    <xf numFmtId="0" fontId="2" fillId="3" borderId="0" xfId="0" applyFont="1" applyFill="1"/>
    <xf numFmtId="0" fontId="1" fillId="2" borderId="0" xfId="0" applyFont="1" applyFill="1" applyAlignment="1">
      <alignment horizontal="center" wrapText="1"/>
    </xf>
    <xf numFmtId="0" fontId="1" fillId="2" borderId="0" xfId="0" applyFont="1" applyFill="1" applyAlignment="1">
      <alignment horizontal="left" vertical="center" wrapText="1"/>
    </xf>
    <xf numFmtId="0" fontId="5" fillId="0" borderId="0" xfId="0" applyFont="1"/>
    <xf numFmtId="0" fontId="4" fillId="4" borderId="0" xfId="0" applyFont="1" applyFill="1" applyAlignment="1">
      <alignment wrapText="1"/>
    </xf>
    <xf numFmtId="0" fontId="6" fillId="5" borderId="0" xfId="0" applyFont="1" applyFill="1" applyAlignment="1">
      <alignment horizontal="center" wrapText="1"/>
    </xf>
    <xf numFmtId="0" fontId="6" fillId="6" borderId="0" xfId="0" applyFont="1" applyFill="1" applyAlignment="1">
      <alignment horizontal="center" wrapText="1"/>
    </xf>
    <xf numFmtId="0" fontId="6" fillId="6" borderId="0" xfId="0" applyFont="1" applyFill="1" applyAlignment="1">
      <alignment horizontal="center"/>
    </xf>
    <xf numFmtId="0" fontId="2" fillId="0" borderId="0" xfId="0" applyFont="1" applyAlignment="1">
      <alignment wrapText="1"/>
    </xf>
    <xf numFmtId="0" fontId="7" fillId="0" borderId="0" xfId="0" applyFont="1"/>
    <xf numFmtId="164" fontId="2" fillId="0" borderId="0" xfId="0" applyNumberFormat="1" applyFont="1"/>
    <xf numFmtId="0" fontId="8" fillId="3" borderId="0" xfId="0" applyFont="1" applyFill="1" applyAlignment="1">
      <alignment horizontal="right"/>
    </xf>
    <xf numFmtId="0" fontId="3" fillId="3" borderId="0" xfId="0" applyFont="1" applyFill="1" applyAlignment="1">
      <alignment horizontal="center"/>
    </xf>
    <xf numFmtId="0" fontId="9" fillId="3" borderId="0" xfId="0" applyFont="1" applyFill="1"/>
    <xf numFmtId="0" fontId="4" fillId="0" borderId="0" xfId="0" applyFont="1" applyAlignment="1">
      <alignment wrapText="1"/>
    </xf>
    <xf numFmtId="0" fontId="10" fillId="0" borderId="0" xfId="0" applyFont="1"/>
    <xf numFmtId="0" fontId="2" fillId="4" borderId="0" xfId="0" applyFont="1" applyFill="1" applyAlignment="1">
      <alignment wrapText="1"/>
    </xf>
    <xf numFmtId="0" fontId="8" fillId="3" borderId="0" xfId="0" applyFont="1" applyFill="1"/>
    <xf numFmtId="0" fontId="2" fillId="0" borderId="0" xfId="0" applyFont="1" applyAlignment="1">
      <alignment horizontal="left" vertical="center" wrapText="1"/>
    </xf>
    <xf numFmtId="0" fontId="4" fillId="7" borderId="0" xfId="0" applyFont="1" applyFill="1" applyAlignment="1">
      <alignment horizontal="center"/>
    </xf>
    <xf numFmtId="164" fontId="2" fillId="0" borderId="0" xfId="0" applyNumberFormat="1" applyFont="1" applyAlignment="1">
      <alignment horizontal="right"/>
    </xf>
    <xf numFmtId="0" fontId="11" fillId="3" borderId="0" xfId="0" applyFont="1" applyFill="1"/>
    <xf numFmtId="0" fontId="12" fillId="3" borderId="0" xfId="0" applyFont="1" applyFill="1"/>
    <xf numFmtId="0" fontId="2" fillId="8" borderId="0" xfId="0" applyFont="1" applyFill="1" applyAlignment="1">
      <alignment horizontal="right"/>
    </xf>
    <xf numFmtId="0" fontId="2" fillId="3" borderId="0" xfId="0" applyFont="1" applyFill="1" applyAlignment="1">
      <alignment wrapText="1"/>
    </xf>
    <xf numFmtId="0" fontId="13" fillId="3" borderId="0" xfId="0" applyFont="1" applyFill="1"/>
    <xf numFmtId="0" fontId="14" fillId="8" borderId="0" xfId="0" applyFont="1" applyFill="1" applyAlignment="1">
      <alignment horizontal="right"/>
    </xf>
    <xf numFmtId="0" fontId="13" fillId="9" borderId="0" xfId="0" applyFont="1" applyFill="1"/>
    <xf numFmtId="0" fontId="15" fillId="0" borderId="0" xfId="0" applyFont="1"/>
    <xf numFmtId="0" fontId="14" fillId="3" borderId="0" xfId="0" applyFont="1" applyFill="1" applyAlignment="1">
      <alignment horizontal="right"/>
    </xf>
    <xf numFmtId="0" fontId="16" fillId="3" borderId="0" xfId="0" applyFont="1" applyFill="1" applyAlignment="1">
      <alignment horizontal="center"/>
    </xf>
    <xf numFmtId="0" fontId="2" fillId="8" borderId="0" xfId="0" applyFont="1" applyFill="1"/>
    <xf numFmtId="164" fontId="7" fillId="0" borderId="0" xfId="0" applyNumberFormat="1" applyFont="1"/>
    <xf numFmtId="0" fontId="17" fillId="0" borderId="0" xfId="0" applyFont="1"/>
    <xf numFmtId="0" fontId="7" fillId="0" borderId="0" xfId="0" applyFont="1" applyAlignment="1">
      <alignment wrapText="1"/>
    </xf>
    <xf numFmtId="0" fontId="18" fillId="0" borderId="0" xfId="0" applyFont="1" applyAlignment="1">
      <alignment wrapText="1"/>
    </xf>
    <xf numFmtId="167" fontId="7" fillId="0" borderId="0" xfId="0" applyNumberFormat="1" applyFont="1"/>
    <xf numFmtId="168" fontId="7" fillId="0" borderId="0" xfId="0" applyNumberFormat="1" applyFont="1"/>
    <xf numFmtId="0" fontId="19" fillId="3" borderId="0" xfId="0" applyFont="1" applyFill="1"/>
  </cellXfs>
  <cellStyles count="1">
    <cellStyle name="Normal" xfId="0" builtinId="0"/>
  </cellStyles>
  <dxfs count="26">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13">
    <tableStyle name="Data 2026-style" pivot="0" count="2" xr9:uid="{00000000-0011-0000-FFFF-FFFF00000000}">
      <tableStyleElement type="firstRowStripe" dxfId="25"/>
      <tableStyleElement type="secondRowStripe" dxfId="24"/>
    </tableStyle>
    <tableStyle name="Data 2026-style 2" pivot="0" count="2" xr9:uid="{00000000-0011-0000-FFFF-FFFF01000000}">
      <tableStyleElement type="firstRowStripe" dxfId="23"/>
      <tableStyleElement type="secondRowStripe" dxfId="22"/>
    </tableStyle>
    <tableStyle name="Miss sale-style" pivot="0" count="2" xr9:uid="{00000000-0011-0000-FFFF-FFFF02000000}">
      <tableStyleElement type="firstRowStripe" dxfId="21"/>
      <tableStyleElement type="secondRowStripe" dxfId="20"/>
    </tableStyle>
    <tableStyle name="Miss sale-style 2" pivot="0" count="2" xr9:uid="{00000000-0011-0000-FFFF-FFFF03000000}">
      <tableStyleElement type="firstRowStripe" dxfId="19"/>
      <tableStyleElement type="secondRowStripe" dxfId="18"/>
    </tableStyle>
    <tableStyle name="Miss sale-style 3" pivot="0" count="2" xr9:uid="{00000000-0011-0000-FFFF-FFFF04000000}">
      <tableStyleElement type="firstRowStripe" dxfId="17"/>
      <tableStyleElement type="secondRowStripe" dxfId="16"/>
    </tableStyle>
    <tableStyle name="Miss sale-style 4" pivot="0" count="2" xr9:uid="{00000000-0011-0000-FFFF-FFFF05000000}">
      <tableStyleElement type="firstRowStripe" dxfId="15"/>
      <tableStyleElement type="secondRowStripe" dxfId="14"/>
    </tableStyle>
    <tableStyle name="Miss sale-style 5" pivot="0" count="2" xr9:uid="{00000000-0011-0000-FFFF-FFFF06000000}">
      <tableStyleElement type="firstRowStripe" dxfId="13"/>
      <tableStyleElement type="secondRowStripe" dxfId="12"/>
    </tableStyle>
    <tableStyle name="Miss sale-style 6" pivot="0" count="2" xr9:uid="{00000000-0011-0000-FFFF-FFFF07000000}">
      <tableStyleElement type="firstRowStripe" dxfId="11"/>
      <tableStyleElement type="secondRowStripe" dxfId="10"/>
    </tableStyle>
    <tableStyle name="Miss sale-style 7" pivot="0" count="2" xr9:uid="{00000000-0011-0000-FFFF-FFFF08000000}">
      <tableStyleElement type="firstRowStripe" dxfId="9"/>
      <tableStyleElement type="secondRowStripe" dxfId="8"/>
    </tableStyle>
    <tableStyle name="Miss sale-style 8" pivot="0" count="2" xr9:uid="{00000000-0011-0000-FFFF-FFFF09000000}">
      <tableStyleElement type="firstRowStripe" dxfId="7"/>
      <tableStyleElement type="secondRowStripe" dxfId="6"/>
    </tableStyle>
    <tableStyle name="Miss sale-style 9" pivot="0" count="2" xr9:uid="{00000000-0011-0000-FFFF-FFFF0A000000}">
      <tableStyleElement type="firstRowStripe" dxfId="5"/>
      <tableStyleElement type="secondRowStripe" dxfId="4"/>
    </tableStyle>
    <tableStyle name="Miss sale-style 10" pivot="0" count="2" xr9:uid="{00000000-0011-0000-FFFF-FFFF0B000000}">
      <tableStyleElement type="firstRowStripe" dxfId="3"/>
      <tableStyleElement type="secondRowStripe" dxfId="2"/>
    </tableStyle>
    <tableStyle name="Đảo lại-style" pivot="0" count="2" xr9:uid="{00000000-0011-0000-FFFF-FFFF0C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share/17xr56Ekgc/?mibextid=wwXIfr" TargetMode="External"/><Relationship Id="rId18" Type="http://schemas.openxmlformats.org/officeDocument/2006/relationships/hyperlink" Target="https://www.facebook.com/share/1Ai3ZS3X86/?mibextid=wwXIfr" TargetMode="External"/><Relationship Id="rId26" Type="http://schemas.openxmlformats.org/officeDocument/2006/relationships/hyperlink" Target="https://www.facebook.com/tuoimoithanhcong4" TargetMode="External"/><Relationship Id="rId39" Type="http://schemas.openxmlformats.org/officeDocument/2006/relationships/hyperlink" Target="https://www.facebook.com/hue.duong.37017794" TargetMode="External"/><Relationship Id="rId21" Type="http://schemas.openxmlformats.org/officeDocument/2006/relationships/hyperlink" Target="https://www.facebook.com/share/18NaWnirSX/?mibextid=wwXIfr" TargetMode="External"/><Relationship Id="rId34" Type="http://schemas.openxmlformats.org/officeDocument/2006/relationships/hyperlink" Target="https://www.facebook.com/minh.nguyen.530215" TargetMode="External"/><Relationship Id="rId42" Type="http://schemas.openxmlformats.org/officeDocument/2006/relationships/hyperlink" Target="https://www.facebook.com/hoa.le.69687" TargetMode="External"/><Relationship Id="rId47" Type="http://schemas.openxmlformats.org/officeDocument/2006/relationships/hyperlink" Target="https://www.facebook.com/tien.le.251705" TargetMode="External"/><Relationship Id="rId50" Type="http://schemas.openxmlformats.org/officeDocument/2006/relationships/hyperlink" Target="https://www.facebook.com/nguyen.thi.van.378717" TargetMode="External"/><Relationship Id="rId55" Type="http://schemas.openxmlformats.org/officeDocument/2006/relationships/hyperlink" Target="https://www.facebook.com/aothiuc.841490" TargetMode="External"/><Relationship Id="rId63" Type="http://schemas.openxmlformats.org/officeDocument/2006/relationships/hyperlink" Target="https://www.facebook.com/emily.tran.694729" TargetMode="External"/><Relationship Id="rId7" Type="http://schemas.openxmlformats.org/officeDocument/2006/relationships/hyperlink" Target="https://www.facebook.com/share/1E1mjDdvfB/?mibextid=wwXIfr" TargetMode="External"/><Relationship Id="rId2" Type="http://schemas.openxmlformats.org/officeDocument/2006/relationships/hyperlink" Target="https://www.facebook.com/share/1JR7g2cHmP/?mibextid=wwXIfr" TargetMode="External"/><Relationship Id="rId16" Type="http://schemas.openxmlformats.org/officeDocument/2006/relationships/hyperlink" Target="https://www.facebook.com/2026tientran" TargetMode="External"/><Relationship Id="rId20" Type="http://schemas.openxmlformats.org/officeDocument/2006/relationships/hyperlink" Target="https://www.facebook.com/share/1Mrw8q5cXP/?mibextid=wwXIfr" TargetMode="External"/><Relationship Id="rId29" Type="http://schemas.openxmlformats.org/officeDocument/2006/relationships/hyperlink" Target="https://www.facebook.com/dungnt.lehung" TargetMode="External"/><Relationship Id="rId41" Type="http://schemas.openxmlformats.org/officeDocument/2006/relationships/hyperlink" Target="https://www.facebook.com/diep.phong.731" TargetMode="External"/><Relationship Id="rId54" Type="http://schemas.openxmlformats.org/officeDocument/2006/relationships/hyperlink" Target="https://www.facebook.com/share/18qZ4FfvDm/?mibextid=wwXIfr" TargetMode="External"/><Relationship Id="rId62" Type="http://schemas.openxmlformats.org/officeDocument/2006/relationships/hyperlink" Target="https://www.facebook.com/hai.huynh.37669" TargetMode="External"/><Relationship Id="rId1" Type="http://schemas.openxmlformats.org/officeDocument/2006/relationships/hyperlink" Target="https://www.facebook.com/share/1abEWXj8Uv/?mibextid=wwXIfr" TargetMode="External"/><Relationship Id="rId6" Type="http://schemas.openxmlformats.org/officeDocument/2006/relationships/hyperlink" Target="https://www.facebook.com/share/1BuA4Jigwh/?mibextid=wwXIfr" TargetMode="External"/><Relationship Id="rId11" Type="http://schemas.openxmlformats.org/officeDocument/2006/relationships/hyperlink" Target="https://www.facebook.com/share/1GpDDVCfMh/?mibextid=wwXIfr" TargetMode="External"/><Relationship Id="rId24" Type="http://schemas.openxmlformats.org/officeDocument/2006/relationships/hyperlink" Target="https://www.facebook.com/duong.nguyenvan.1042032" TargetMode="External"/><Relationship Id="rId32" Type="http://schemas.openxmlformats.org/officeDocument/2006/relationships/hyperlink" Target="https://www.facebook.com/anhduc0709" TargetMode="External"/><Relationship Id="rId37" Type="http://schemas.openxmlformats.org/officeDocument/2006/relationships/hyperlink" Target="https://www.facebook.com/mimh.xoa" TargetMode="External"/><Relationship Id="rId40" Type="http://schemas.openxmlformats.org/officeDocument/2006/relationships/hyperlink" Target="https://www.facebook.com/nguyenthingan.thanh" TargetMode="External"/><Relationship Id="rId45" Type="http://schemas.openxmlformats.org/officeDocument/2006/relationships/hyperlink" Target="https://www.facebook.com/oanh.nguyen.thi.kim.278107" TargetMode="External"/><Relationship Id="rId53" Type="http://schemas.openxmlformats.org/officeDocument/2006/relationships/hyperlink" Target="https://www.facebook.com/share/17j5m63oTx/?mibextid=wwXIfr" TargetMode="External"/><Relationship Id="rId58" Type="http://schemas.openxmlformats.org/officeDocument/2006/relationships/hyperlink" Target="https://www.facebook.com/nguyen.lien.376104" TargetMode="External"/><Relationship Id="rId66" Type="http://schemas.openxmlformats.org/officeDocument/2006/relationships/hyperlink" Target="https://www.facebook.com/share/18eUBqLLjX/?mibextid=wwXIfr" TargetMode="External"/><Relationship Id="rId5" Type="http://schemas.openxmlformats.org/officeDocument/2006/relationships/hyperlink" Target="https://www.facebook.com/share/1CQue59S8f/?mibextid=wwXIfr" TargetMode="External"/><Relationship Id="rId15" Type="http://schemas.openxmlformats.org/officeDocument/2006/relationships/hyperlink" Target="https://www.facebook.com/truongthuanduc" TargetMode="External"/><Relationship Id="rId23" Type="http://schemas.openxmlformats.org/officeDocument/2006/relationships/hyperlink" Target="https://www.facebook.com/share/17tsTizApA/?mibextid=wwXIfr" TargetMode="External"/><Relationship Id="rId28" Type="http://schemas.openxmlformats.org/officeDocument/2006/relationships/hyperlink" Target="https://www.facebook.com/loan.le.286691" TargetMode="External"/><Relationship Id="rId36" Type="http://schemas.openxmlformats.org/officeDocument/2006/relationships/hyperlink" Target="https://www.facebook.com/tran.quyen.272001" TargetMode="External"/><Relationship Id="rId49" Type="http://schemas.openxmlformats.org/officeDocument/2006/relationships/hyperlink" Target="https://www.facebook.com/nguyenhuonggiangkhph" TargetMode="External"/><Relationship Id="rId57" Type="http://schemas.openxmlformats.org/officeDocument/2006/relationships/hyperlink" Target="https://www.facebook.com/phan.hang.3950" TargetMode="External"/><Relationship Id="rId61" Type="http://schemas.openxmlformats.org/officeDocument/2006/relationships/hyperlink" Target="https://www.facebook.com/vu.thi.ly.708920" TargetMode="External"/><Relationship Id="rId10" Type="http://schemas.openxmlformats.org/officeDocument/2006/relationships/hyperlink" Target="https://www.facebook.com/share/19rPXyATWC/?mibextid=wwXIfr" TargetMode="External"/><Relationship Id="rId19" Type="http://schemas.openxmlformats.org/officeDocument/2006/relationships/hyperlink" Target="https://www.facebook.com/share/1EGSRJNSEy/?mibextid=wwXIfr" TargetMode="External"/><Relationship Id="rId31" Type="http://schemas.openxmlformats.org/officeDocument/2006/relationships/hyperlink" Target="https://www.facebook.com/hoang.thi.kim.ngan.322213" TargetMode="External"/><Relationship Id="rId44" Type="http://schemas.openxmlformats.org/officeDocument/2006/relationships/hyperlink" Target="https://www.facebook.com/nguuyen.tienxuat" TargetMode="External"/><Relationship Id="rId52" Type="http://schemas.openxmlformats.org/officeDocument/2006/relationships/hyperlink" Target="https://www.facebook.com/tri.nguyen.504070" TargetMode="External"/><Relationship Id="rId60" Type="http://schemas.openxmlformats.org/officeDocument/2006/relationships/hyperlink" Target="https://www.facebook.com/share/1Hm8zqCN4N/?mibextid=wwXIfr" TargetMode="External"/><Relationship Id="rId65" Type="http://schemas.openxmlformats.org/officeDocument/2006/relationships/hyperlink" Target="https://www.facebook.com/nguyen.ngocthanh.750331" TargetMode="External"/><Relationship Id="rId4" Type="http://schemas.openxmlformats.org/officeDocument/2006/relationships/hyperlink" Target="https://www.facebook.com/share/18NcoYzFHj/?mibextid=wwXIfr" TargetMode="External"/><Relationship Id="rId9" Type="http://schemas.openxmlformats.org/officeDocument/2006/relationships/hyperlink" Target="https://www.facebook.com/share/17xMPPTCLA/?mibextid=wwXIfr" TargetMode="External"/><Relationship Id="rId14" Type="http://schemas.openxmlformats.org/officeDocument/2006/relationships/hyperlink" Target="https://www.facebook.com/share/17xtUxc2fj/?mibextid=wwXIfr" TargetMode="External"/><Relationship Id="rId22" Type="http://schemas.openxmlformats.org/officeDocument/2006/relationships/hyperlink" Target="https://www.facebook.com/share/1KWdBkTMwm/?mibextid=wwXIfr" TargetMode="External"/><Relationship Id="rId27" Type="http://schemas.openxmlformats.org/officeDocument/2006/relationships/hyperlink" Target="https://www.facebook.com/minhphuong.nguyen.886872" TargetMode="External"/><Relationship Id="rId30" Type="http://schemas.openxmlformats.org/officeDocument/2006/relationships/hyperlink" Target="https://www.facebook.com/share/1DBHY8xUE3/?mibextid=wwXIfr" TargetMode="External"/><Relationship Id="rId35" Type="http://schemas.openxmlformats.org/officeDocument/2006/relationships/hyperlink" Target="https://www.facebook.com/ba.hong.393763" TargetMode="External"/><Relationship Id="rId43" Type="http://schemas.openxmlformats.org/officeDocument/2006/relationships/hyperlink" Target="https://www.facebook.com/hoang.hoang.524678" TargetMode="External"/><Relationship Id="rId48" Type="http://schemas.openxmlformats.org/officeDocument/2006/relationships/hyperlink" Target="https://www.facebook.com/phuong.vo.696182" TargetMode="External"/><Relationship Id="rId56" Type="http://schemas.openxmlformats.org/officeDocument/2006/relationships/hyperlink" Target="https://www.facebook.com/viet.binh.nguyen.109215" TargetMode="External"/><Relationship Id="rId64" Type="http://schemas.openxmlformats.org/officeDocument/2006/relationships/hyperlink" Target="https://www.facebook.com/nguyet.luong.866967" TargetMode="External"/><Relationship Id="rId8" Type="http://schemas.openxmlformats.org/officeDocument/2006/relationships/hyperlink" Target="https://www.facebook.com/share/1Hyd3JQCsW/?mibextid=wwXIfr" TargetMode="External"/><Relationship Id="rId51" Type="http://schemas.openxmlformats.org/officeDocument/2006/relationships/hyperlink" Target="https://www.facebook.com/minhsang.dang.948" TargetMode="External"/><Relationship Id="rId3" Type="http://schemas.openxmlformats.org/officeDocument/2006/relationships/hyperlink" Target="https://www.facebook.com/share/1AgzPawnim/?mibextid=wwXIfr" TargetMode="External"/><Relationship Id="rId12" Type="http://schemas.openxmlformats.org/officeDocument/2006/relationships/hyperlink" Target="https://www.facebook.com/share/18AeVLa4gn/?mibextid=wwXIfr" TargetMode="External"/><Relationship Id="rId17" Type="http://schemas.openxmlformats.org/officeDocument/2006/relationships/hyperlink" Target="https://www.facebook.com/share/17xVXxhSDU/?mibextid=wwXIfr" TargetMode="External"/><Relationship Id="rId25" Type="http://schemas.openxmlformats.org/officeDocument/2006/relationships/hyperlink" Target="https://www.facebook.com/duong.nguyenvan.1042032" TargetMode="External"/><Relationship Id="rId33" Type="http://schemas.openxmlformats.org/officeDocument/2006/relationships/hyperlink" Target="https://www.facebook.com/nguyen.ba.ong.708942" TargetMode="External"/><Relationship Id="rId38" Type="http://schemas.openxmlformats.org/officeDocument/2006/relationships/hyperlink" Target="https://www.facebook.com/thanh.huong.le.630794" TargetMode="External"/><Relationship Id="rId46" Type="http://schemas.openxmlformats.org/officeDocument/2006/relationships/hyperlink" Target="https://www.facebook.com/binh.la.36963" TargetMode="External"/><Relationship Id="rId59" Type="http://schemas.openxmlformats.org/officeDocument/2006/relationships/hyperlink" Target="https://www.facebook.com/mai.luong.5594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Z647"/>
  <sheetViews>
    <sheetView tabSelected="1" workbookViewId="0">
      <pane xSplit="6" ySplit="1" topLeftCell="G2" activePane="bottomRight" state="frozen"/>
      <selection pane="topRight" activeCell="G1" sqref="G1"/>
      <selection pane="bottomLeft" activeCell="A2" sqref="A2"/>
      <selection pane="bottomRight" activeCell="G2" sqref="G2"/>
    </sheetView>
  </sheetViews>
  <sheetFormatPr defaultColWidth="12.5703125" defaultRowHeight="15.75" customHeight="1" x14ac:dyDescent="0.2"/>
  <cols>
    <col min="1" max="1" width="6.5703125" customWidth="1"/>
    <col min="2" max="2" width="9.5703125" customWidth="1"/>
    <col min="3" max="3" width="12.140625" customWidth="1"/>
    <col min="4" max="4" width="18" customWidth="1"/>
    <col min="7" max="7" width="27.85546875" customWidth="1"/>
    <col min="11" max="11" width="19" customWidth="1"/>
    <col min="12" max="12" width="22.140625" customWidth="1"/>
  </cols>
  <sheetData>
    <row r="1" spans="1:52" ht="24.75" customHeight="1" x14ac:dyDescent="0.5">
      <c r="A1" s="1" t="s">
        <v>0</v>
      </c>
      <c r="B1" s="3" t="s">
        <v>1</v>
      </c>
      <c r="C1" s="1" t="s">
        <v>3</v>
      </c>
      <c r="D1" s="1" t="s">
        <v>4</v>
      </c>
      <c r="E1" s="6" t="s">
        <v>5</v>
      </c>
      <c r="F1" s="1" t="s">
        <v>6</v>
      </c>
      <c r="G1" s="1" t="s">
        <v>7</v>
      </c>
      <c r="H1" s="1" t="s">
        <v>8</v>
      </c>
      <c r="I1" s="1" t="s">
        <v>10</v>
      </c>
      <c r="J1" s="1" t="s">
        <v>11</v>
      </c>
      <c r="K1" s="9" t="s">
        <v>12</v>
      </c>
      <c r="L1" s="10" t="s">
        <v>13</v>
      </c>
      <c r="M1" s="1" t="s">
        <v>14</v>
      </c>
      <c r="N1" s="1" t="s">
        <v>15</v>
      </c>
      <c r="O1" s="1" t="s">
        <v>16</v>
      </c>
      <c r="P1" s="1" t="s">
        <v>17</v>
      </c>
      <c r="Q1" s="1" t="s">
        <v>18</v>
      </c>
      <c r="R1" s="12" t="s">
        <v>19</v>
      </c>
      <c r="S1" s="12" t="s">
        <v>20</v>
      </c>
      <c r="T1" s="12" t="s">
        <v>21</v>
      </c>
      <c r="U1" s="12" t="s">
        <v>22</v>
      </c>
      <c r="V1" s="12" t="s">
        <v>23</v>
      </c>
      <c r="W1" s="12" t="s">
        <v>24</v>
      </c>
      <c r="X1" s="12" t="s">
        <v>25</v>
      </c>
      <c r="Y1" s="12" t="s">
        <v>26</v>
      </c>
      <c r="Z1" s="12" t="s">
        <v>27</v>
      </c>
      <c r="AA1" s="12" t="s">
        <v>28</v>
      </c>
      <c r="AB1" s="12" t="s">
        <v>30</v>
      </c>
      <c r="AC1" s="12" t="s">
        <v>31</v>
      </c>
      <c r="AD1" s="12" t="s">
        <v>32</v>
      </c>
      <c r="AE1" s="13" t="s">
        <v>33</v>
      </c>
      <c r="AF1" s="14" t="s">
        <v>34</v>
      </c>
      <c r="AG1" s="15" t="s">
        <v>20</v>
      </c>
      <c r="AH1" s="15" t="s">
        <v>21</v>
      </c>
      <c r="AI1" s="15" t="s">
        <v>30</v>
      </c>
      <c r="AJ1" s="15" t="s">
        <v>31</v>
      </c>
      <c r="AK1" s="15" t="s">
        <v>32</v>
      </c>
      <c r="AL1" s="5"/>
      <c r="AM1" s="5"/>
      <c r="AN1" s="5"/>
      <c r="AO1" s="5"/>
      <c r="AP1" s="5"/>
      <c r="AQ1" s="5"/>
      <c r="AR1" s="5"/>
      <c r="AS1" s="5"/>
      <c r="AT1" s="5"/>
      <c r="AU1" s="5"/>
      <c r="AV1" s="5"/>
      <c r="AW1" s="5"/>
      <c r="AX1" s="5"/>
      <c r="AY1" s="5"/>
      <c r="AZ1" s="5"/>
    </row>
    <row r="2" spans="1:52" ht="25.5" x14ac:dyDescent="0.2">
      <c r="A2" s="17">
        <v>1</v>
      </c>
      <c r="B2" s="18" t="s">
        <v>35</v>
      </c>
      <c r="C2" s="19" t="s">
        <v>36</v>
      </c>
      <c r="D2" s="4" t="s">
        <v>37</v>
      </c>
      <c r="E2" s="20">
        <v>365698644</v>
      </c>
      <c r="F2" s="5" t="s">
        <v>38</v>
      </c>
      <c r="H2" s="21" t="s">
        <v>39</v>
      </c>
      <c r="I2" s="5" t="s">
        <v>40</v>
      </c>
      <c r="J2" s="5" t="s">
        <v>36</v>
      </c>
      <c r="K2" s="5" t="s">
        <v>36</v>
      </c>
      <c r="L2" s="22" t="s">
        <v>42</v>
      </c>
      <c r="M2" s="5"/>
      <c r="N2" s="5"/>
      <c r="O2" s="5" t="s">
        <v>43</v>
      </c>
      <c r="P2" s="5" t="s">
        <v>23</v>
      </c>
      <c r="Q2" s="5" t="s">
        <v>20</v>
      </c>
      <c r="R2" s="24">
        <f>COUNTA(E2:E521)</f>
        <v>68</v>
      </c>
      <c r="S2" s="24">
        <f>COUNTIF($Q:$Q,S1)</f>
        <v>41</v>
      </c>
      <c r="T2" s="24">
        <f t="shared" ref="T2:Z2" si="0">COUNTIF($P:$P,T1)</f>
        <v>4</v>
      </c>
      <c r="U2" s="24">
        <f t="shared" si="0"/>
        <v>3</v>
      </c>
      <c r="V2" s="24">
        <f t="shared" si="0"/>
        <v>33</v>
      </c>
      <c r="W2" s="24">
        <f t="shared" si="0"/>
        <v>10</v>
      </c>
      <c r="X2" s="24">
        <f t="shared" si="0"/>
        <v>0</v>
      </c>
      <c r="Y2" s="24">
        <f t="shared" si="0"/>
        <v>7</v>
      </c>
      <c r="Z2" s="24">
        <f t="shared" si="0"/>
        <v>2</v>
      </c>
      <c r="AA2" s="24">
        <f t="shared" ref="AA2:AD2" si="1">COUNTIF($Q:$Q,AA1)</f>
        <v>12</v>
      </c>
      <c r="AB2" s="24">
        <f t="shared" si="1"/>
        <v>5</v>
      </c>
      <c r="AC2" s="24">
        <f t="shared" si="1"/>
        <v>1</v>
      </c>
      <c r="AD2" s="24">
        <f t="shared" si="1"/>
        <v>3</v>
      </c>
    </row>
    <row r="3" spans="1:52" ht="89.25" x14ac:dyDescent="0.2">
      <c r="A3" s="17">
        <f t="shared" ref="A3:A11" si="2">A2+1</f>
        <v>2</v>
      </c>
      <c r="B3" s="18" t="s">
        <v>35</v>
      </c>
      <c r="C3" s="19" t="s">
        <v>36</v>
      </c>
      <c r="D3" s="4" t="s">
        <v>46</v>
      </c>
      <c r="E3" s="20">
        <v>916156789</v>
      </c>
      <c r="F3" s="5" t="s">
        <v>47</v>
      </c>
      <c r="H3" s="21" t="s">
        <v>48</v>
      </c>
      <c r="I3" s="5" t="s">
        <v>40</v>
      </c>
      <c r="J3" s="5" t="s">
        <v>36</v>
      </c>
      <c r="K3" s="5" t="s">
        <v>36</v>
      </c>
      <c r="L3" s="22" t="s">
        <v>49</v>
      </c>
      <c r="M3" s="5"/>
      <c r="N3" s="5"/>
      <c r="O3" s="5" t="s">
        <v>50</v>
      </c>
      <c r="P3" s="5" t="s">
        <v>23</v>
      </c>
      <c r="Q3" s="5" t="s">
        <v>20</v>
      </c>
      <c r="R3" s="27" t="s">
        <v>51</v>
      </c>
      <c r="S3" s="27" t="str">
        <f t="shared" ref="S3:AD3" si="3">ROUND((S2/$R$2)*100,0)&amp;"%"</f>
        <v>60%</v>
      </c>
      <c r="T3" s="27" t="str">
        <f t="shared" si="3"/>
        <v>6%</v>
      </c>
      <c r="U3" s="27" t="str">
        <f t="shared" si="3"/>
        <v>4%</v>
      </c>
      <c r="V3" s="27" t="str">
        <f t="shared" si="3"/>
        <v>49%</v>
      </c>
      <c r="W3" s="27" t="str">
        <f t="shared" si="3"/>
        <v>15%</v>
      </c>
      <c r="X3" s="27" t="str">
        <f t="shared" si="3"/>
        <v>0%</v>
      </c>
      <c r="Y3" s="27" t="str">
        <f t="shared" si="3"/>
        <v>10%</v>
      </c>
      <c r="Z3" s="27" t="str">
        <f t="shared" si="3"/>
        <v>3%</v>
      </c>
      <c r="AA3" s="27" t="str">
        <f t="shared" si="3"/>
        <v>18%</v>
      </c>
      <c r="AB3" s="27" t="str">
        <f t="shared" si="3"/>
        <v>7%</v>
      </c>
      <c r="AC3" s="27" t="str">
        <f t="shared" si="3"/>
        <v>1%</v>
      </c>
      <c r="AD3" s="27" t="str">
        <f t="shared" si="3"/>
        <v>4%</v>
      </c>
    </row>
    <row r="4" spans="1:52" ht="114.75" x14ac:dyDescent="0.2">
      <c r="A4" s="17">
        <f t="shared" si="2"/>
        <v>3</v>
      </c>
      <c r="B4" s="28">
        <v>46070</v>
      </c>
      <c r="C4" s="19" t="s">
        <v>36</v>
      </c>
      <c r="D4" s="4" t="s">
        <v>52</v>
      </c>
      <c r="E4" s="20">
        <v>975029559</v>
      </c>
      <c r="F4" s="5" t="s">
        <v>38</v>
      </c>
      <c r="H4" s="21" t="s">
        <v>53</v>
      </c>
      <c r="I4" s="5"/>
      <c r="J4" s="5"/>
      <c r="K4" s="5" t="s">
        <v>36</v>
      </c>
      <c r="L4" s="22" t="s">
        <v>54</v>
      </c>
      <c r="M4" s="5"/>
      <c r="N4" s="5"/>
      <c r="O4" s="5" t="s">
        <v>45</v>
      </c>
      <c r="P4" s="5" t="s">
        <v>24</v>
      </c>
      <c r="Q4" s="5" t="s">
        <v>28</v>
      </c>
      <c r="R4" s="5"/>
      <c r="S4" s="5"/>
      <c r="T4" s="5"/>
      <c r="U4" s="5"/>
      <c r="V4" s="5"/>
      <c r="W4" s="5"/>
      <c r="X4" s="5"/>
      <c r="Y4" s="5"/>
    </row>
    <row r="5" spans="1:52" ht="14.25" x14ac:dyDescent="0.2">
      <c r="A5" s="17">
        <f t="shared" si="2"/>
        <v>4</v>
      </c>
      <c r="B5" s="28">
        <v>46070</v>
      </c>
      <c r="C5" s="4" t="s">
        <v>2</v>
      </c>
      <c r="D5" s="4" t="s">
        <v>56</v>
      </c>
      <c r="E5" s="20">
        <v>919910628</v>
      </c>
      <c r="F5" s="5" t="s">
        <v>38</v>
      </c>
      <c r="H5" s="21" t="s">
        <v>57</v>
      </c>
      <c r="I5" s="5" t="s">
        <v>40</v>
      </c>
      <c r="J5" s="5"/>
      <c r="K5" s="5" t="s">
        <v>36</v>
      </c>
      <c r="L5" s="22" t="s">
        <v>58</v>
      </c>
      <c r="M5" s="5"/>
      <c r="N5" s="5"/>
      <c r="O5" s="5"/>
      <c r="P5" s="5" t="s">
        <v>27</v>
      </c>
      <c r="Q5" s="5" t="s">
        <v>28</v>
      </c>
      <c r="R5" s="5"/>
      <c r="S5" s="5"/>
      <c r="T5" s="5"/>
      <c r="U5" s="5"/>
      <c r="V5" s="5"/>
      <c r="W5" s="5"/>
      <c r="X5" s="5"/>
      <c r="Y5" s="5"/>
    </row>
    <row r="6" spans="1:52" ht="114.75" x14ac:dyDescent="0.2">
      <c r="A6" s="17">
        <f t="shared" si="2"/>
        <v>5</v>
      </c>
      <c r="B6" s="28">
        <v>46070</v>
      </c>
      <c r="C6" s="4" t="s">
        <v>2</v>
      </c>
      <c r="D6" s="4" t="s">
        <v>59</v>
      </c>
      <c r="E6" s="20">
        <v>384131516</v>
      </c>
      <c r="F6" s="5" t="s">
        <v>47</v>
      </c>
      <c r="H6" s="21" t="s">
        <v>60</v>
      </c>
      <c r="I6" s="5" t="s">
        <v>40</v>
      </c>
      <c r="J6" s="5"/>
      <c r="K6" s="5" t="s">
        <v>29</v>
      </c>
      <c r="L6" s="16" t="s">
        <v>61</v>
      </c>
      <c r="M6" s="5"/>
      <c r="N6" s="5"/>
      <c r="O6" s="5" t="s">
        <v>45</v>
      </c>
      <c r="P6" s="5" t="s">
        <v>23</v>
      </c>
      <c r="Q6" s="5" t="s">
        <v>20</v>
      </c>
      <c r="R6" s="5"/>
      <c r="S6" s="5"/>
      <c r="T6" s="5"/>
      <c r="U6" s="5"/>
      <c r="V6" s="5"/>
      <c r="W6" s="5"/>
      <c r="X6" s="5"/>
      <c r="Y6" s="5"/>
    </row>
    <row r="7" spans="1:52" ht="14.25" x14ac:dyDescent="0.2">
      <c r="A7" s="17">
        <f t="shared" si="2"/>
        <v>6</v>
      </c>
      <c r="B7" s="28">
        <v>46070</v>
      </c>
      <c r="C7" s="19" t="s">
        <v>36</v>
      </c>
      <c r="D7" s="4" t="s">
        <v>62</v>
      </c>
      <c r="E7" s="20">
        <v>326739122</v>
      </c>
      <c r="F7" s="5" t="s">
        <v>44</v>
      </c>
      <c r="H7" s="21" t="s">
        <v>63</v>
      </c>
      <c r="I7" s="5" t="s">
        <v>40</v>
      </c>
      <c r="J7" s="5"/>
      <c r="K7" s="5" t="s">
        <v>36</v>
      </c>
      <c r="L7" s="16" t="s">
        <v>64</v>
      </c>
      <c r="M7" s="5"/>
      <c r="N7" s="5"/>
      <c r="O7" s="5"/>
      <c r="P7" s="5" t="s">
        <v>65</v>
      </c>
      <c r="Q7" s="5" t="s">
        <v>28</v>
      </c>
      <c r="R7" s="5"/>
      <c r="S7" s="5"/>
      <c r="T7" s="5"/>
      <c r="U7" s="5"/>
      <c r="V7" s="5"/>
      <c r="W7" s="5"/>
      <c r="X7" s="5"/>
      <c r="Y7" s="5"/>
    </row>
    <row r="8" spans="1:52" ht="63.75" x14ac:dyDescent="0.2">
      <c r="A8" s="17">
        <f t="shared" si="2"/>
        <v>7</v>
      </c>
      <c r="B8" s="28">
        <v>46070</v>
      </c>
      <c r="C8" s="19" t="s">
        <v>36</v>
      </c>
      <c r="D8" s="4" t="s">
        <v>66</v>
      </c>
      <c r="E8" s="20">
        <v>987712688</v>
      </c>
      <c r="F8" s="5" t="s">
        <v>67</v>
      </c>
      <c r="H8" s="21" t="s">
        <v>68</v>
      </c>
      <c r="I8" s="5" t="s">
        <v>40</v>
      </c>
      <c r="J8" s="5"/>
      <c r="K8" s="5" t="s">
        <v>36</v>
      </c>
      <c r="L8" s="16" t="s">
        <v>69</v>
      </c>
      <c r="M8" s="5" t="s">
        <v>70</v>
      </c>
      <c r="N8" s="5"/>
      <c r="O8" s="5" t="s">
        <v>43</v>
      </c>
      <c r="P8" s="5" t="s">
        <v>23</v>
      </c>
      <c r="Q8" s="5" t="s">
        <v>20</v>
      </c>
      <c r="R8" s="5"/>
      <c r="S8" s="5"/>
      <c r="T8" s="5"/>
      <c r="U8" s="5"/>
      <c r="V8" s="5"/>
      <c r="W8" s="5"/>
      <c r="X8" s="5"/>
      <c r="Y8" s="5"/>
    </row>
    <row r="9" spans="1:52" ht="51" x14ac:dyDescent="0.2">
      <c r="A9" s="17">
        <f t="shared" si="2"/>
        <v>8</v>
      </c>
      <c r="B9" s="28">
        <v>46071</v>
      </c>
      <c r="C9" s="19" t="s">
        <v>36</v>
      </c>
      <c r="D9" s="4" t="s">
        <v>71</v>
      </c>
      <c r="E9" s="20">
        <v>918382466</v>
      </c>
      <c r="F9" s="5" t="s">
        <v>72</v>
      </c>
      <c r="H9" s="21" t="s">
        <v>73</v>
      </c>
      <c r="I9" s="5" t="s">
        <v>40</v>
      </c>
      <c r="J9" s="5" t="s">
        <v>36</v>
      </c>
      <c r="K9" s="5" t="s">
        <v>36</v>
      </c>
      <c r="L9" s="16" t="s">
        <v>74</v>
      </c>
      <c r="M9" s="5"/>
      <c r="N9" s="5"/>
      <c r="O9" s="5" t="s">
        <v>43</v>
      </c>
      <c r="P9" s="5" t="s">
        <v>23</v>
      </c>
      <c r="Q9" s="5" t="s">
        <v>20</v>
      </c>
      <c r="R9" s="5"/>
      <c r="S9" s="5"/>
      <c r="T9" s="5"/>
      <c r="U9" s="5"/>
      <c r="V9" s="5"/>
      <c r="W9" s="5"/>
      <c r="X9" s="5"/>
      <c r="Y9" s="5"/>
    </row>
    <row r="10" spans="1:52" ht="14.25" x14ac:dyDescent="0.2">
      <c r="A10" s="17">
        <f t="shared" si="2"/>
        <v>9</v>
      </c>
      <c r="B10" s="28">
        <v>46071</v>
      </c>
      <c r="C10" s="19" t="s">
        <v>36</v>
      </c>
      <c r="D10" s="4" t="s">
        <v>75</v>
      </c>
      <c r="E10" s="20">
        <v>947980093</v>
      </c>
      <c r="F10" s="5" t="s">
        <v>44</v>
      </c>
      <c r="H10" s="21" t="s">
        <v>76</v>
      </c>
      <c r="I10" s="5" t="s">
        <v>40</v>
      </c>
      <c r="J10" s="5"/>
      <c r="K10" s="5" t="s">
        <v>36</v>
      </c>
      <c r="L10" s="16" t="s">
        <v>77</v>
      </c>
      <c r="M10" s="5"/>
      <c r="N10" s="5"/>
      <c r="O10" s="5"/>
      <c r="P10" s="5" t="s">
        <v>65</v>
      </c>
      <c r="Q10" s="5" t="s">
        <v>28</v>
      </c>
      <c r="R10" s="5"/>
      <c r="S10" s="5"/>
      <c r="T10" s="5"/>
      <c r="U10" s="5"/>
      <c r="V10" s="5"/>
      <c r="W10" s="5"/>
      <c r="X10" s="5"/>
      <c r="Y10" s="5"/>
    </row>
    <row r="11" spans="1:52" ht="14.25" x14ac:dyDescent="0.2">
      <c r="A11" s="17">
        <f t="shared" si="2"/>
        <v>10</v>
      </c>
      <c r="B11" s="28">
        <v>46071</v>
      </c>
      <c r="C11" s="19" t="s">
        <v>36</v>
      </c>
      <c r="D11" s="4" t="s">
        <v>78</v>
      </c>
      <c r="E11" s="20">
        <v>913037748</v>
      </c>
      <c r="F11" s="5" t="s">
        <v>38</v>
      </c>
      <c r="H11" s="21" t="s">
        <v>79</v>
      </c>
      <c r="I11" s="5" t="s">
        <v>40</v>
      </c>
      <c r="J11" s="5"/>
      <c r="K11" s="5" t="s">
        <v>36</v>
      </c>
      <c r="L11" s="16" t="s">
        <v>80</v>
      </c>
      <c r="M11" s="5"/>
      <c r="N11" s="5"/>
      <c r="O11" s="5"/>
      <c r="P11" s="5" t="s">
        <v>65</v>
      </c>
      <c r="Q11" s="5" t="s">
        <v>28</v>
      </c>
      <c r="R11" s="5"/>
      <c r="S11" s="5"/>
      <c r="T11" s="5"/>
      <c r="U11" s="5"/>
      <c r="V11" s="5"/>
      <c r="W11" s="5"/>
      <c r="X11" s="5"/>
      <c r="Y11" s="5"/>
    </row>
    <row r="12" spans="1:52" ht="38.25" x14ac:dyDescent="0.2">
      <c r="A12" s="17" t="e">
        <f t="shared" ref="A12:A14" si="4">#REF!+1</f>
        <v>#REF!</v>
      </c>
      <c r="B12" s="28">
        <v>46071</v>
      </c>
      <c r="C12" s="4" t="s">
        <v>81</v>
      </c>
      <c r="D12" s="5" t="s">
        <v>82</v>
      </c>
      <c r="E12" s="20">
        <v>912720658</v>
      </c>
      <c r="F12" s="16" t="s">
        <v>83</v>
      </c>
      <c r="H12" s="21" t="s">
        <v>84</v>
      </c>
      <c r="I12" s="5" t="s">
        <v>40</v>
      </c>
      <c r="J12" s="5" t="s">
        <v>36</v>
      </c>
      <c r="K12" s="5" t="s">
        <v>36</v>
      </c>
      <c r="L12" s="16" t="s">
        <v>85</v>
      </c>
      <c r="M12" s="5"/>
      <c r="N12" s="5"/>
      <c r="O12" s="5" t="s">
        <v>43</v>
      </c>
      <c r="P12" s="5" t="s">
        <v>23</v>
      </c>
      <c r="Q12" s="5" t="s">
        <v>20</v>
      </c>
      <c r="R12" s="5"/>
      <c r="S12" s="5"/>
      <c r="T12" s="5"/>
      <c r="U12" s="5"/>
      <c r="V12" s="5"/>
      <c r="W12" s="5"/>
      <c r="X12" s="5"/>
      <c r="Y12" s="5"/>
    </row>
    <row r="13" spans="1:52" ht="63.75" x14ac:dyDescent="0.2">
      <c r="A13" s="17" t="e">
        <f t="shared" si="4"/>
        <v>#REF!</v>
      </c>
      <c r="B13" s="2">
        <v>46072</v>
      </c>
      <c r="C13" s="25" t="s">
        <v>36</v>
      </c>
      <c r="D13" s="4" t="s">
        <v>86</v>
      </c>
      <c r="E13" s="20">
        <v>913226966</v>
      </c>
      <c r="F13" s="5" t="s">
        <v>55</v>
      </c>
      <c r="H13" s="21" t="s">
        <v>87</v>
      </c>
      <c r="I13" s="5" t="s">
        <v>40</v>
      </c>
      <c r="J13" s="5"/>
      <c r="K13" s="5" t="s">
        <v>36</v>
      </c>
      <c r="L13" s="16" t="s">
        <v>88</v>
      </c>
      <c r="M13" s="5" t="s">
        <v>89</v>
      </c>
      <c r="N13" s="5" t="s">
        <v>90</v>
      </c>
      <c r="O13" s="5" t="s">
        <v>43</v>
      </c>
      <c r="P13" s="5" t="s">
        <v>24</v>
      </c>
      <c r="Q13" s="5" t="s">
        <v>20</v>
      </c>
      <c r="R13" s="5"/>
      <c r="S13" s="5"/>
      <c r="T13" s="5"/>
      <c r="U13" s="5"/>
      <c r="V13" s="5"/>
      <c r="W13" s="5"/>
      <c r="X13" s="5"/>
      <c r="Y13" s="5"/>
    </row>
    <row r="14" spans="1:52" ht="51" x14ac:dyDescent="0.2">
      <c r="A14" s="17" t="e">
        <f t="shared" si="4"/>
        <v>#REF!</v>
      </c>
      <c r="B14" s="2">
        <v>46072</v>
      </c>
      <c r="C14" s="4" t="s">
        <v>2</v>
      </c>
      <c r="D14" s="4" t="s">
        <v>91</v>
      </c>
      <c r="E14" s="20">
        <v>962222568</v>
      </c>
      <c r="F14" s="5" t="s">
        <v>41</v>
      </c>
      <c r="H14" s="21" t="s">
        <v>92</v>
      </c>
      <c r="I14" s="5" t="s">
        <v>40</v>
      </c>
      <c r="J14" s="5"/>
      <c r="K14" s="5" t="s">
        <v>36</v>
      </c>
      <c r="L14" s="16" t="s">
        <v>93</v>
      </c>
      <c r="M14" s="5" t="s">
        <v>94</v>
      </c>
      <c r="N14" s="5"/>
      <c r="O14" s="5" t="s">
        <v>45</v>
      </c>
      <c r="P14" s="5" t="s">
        <v>23</v>
      </c>
      <c r="Q14" s="5" t="s">
        <v>20</v>
      </c>
      <c r="R14" s="5"/>
      <c r="S14" s="5"/>
      <c r="T14" s="5"/>
      <c r="U14" s="5"/>
      <c r="V14" s="5"/>
      <c r="W14" s="5"/>
      <c r="X14" s="5"/>
      <c r="Y14" s="5"/>
    </row>
    <row r="15" spans="1:52" ht="38.25" x14ac:dyDescent="0.2">
      <c r="A15" s="17" t="e">
        <f t="shared" ref="A15:A17" si="5">A14+1</f>
        <v>#REF!</v>
      </c>
      <c r="B15" s="2">
        <v>46072</v>
      </c>
      <c r="C15" s="4" t="s">
        <v>2</v>
      </c>
      <c r="D15" s="4" t="s">
        <v>95</v>
      </c>
      <c r="E15" s="20">
        <v>965605149</v>
      </c>
      <c r="F15" s="5" t="s">
        <v>9</v>
      </c>
      <c r="H15" s="21" t="s">
        <v>97</v>
      </c>
      <c r="I15" s="5" t="s">
        <v>40</v>
      </c>
      <c r="J15" s="5" t="s">
        <v>36</v>
      </c>
      <c r="K15" s="5" t="s">
        <v>36</v>
      </c>
      <c r="L15" s="16" t="s">
        <v>98</v>
      </c>
      <c r="M15" s="5"/>
      <c r="N15" s="5"/>
      <c r="O15" s="5" t="s">
        <v>43</v>
      </c>
      <c r="P15" s="5" t="s">
        <v>65</v>
      </c>
      <c r="Q15" s="5" t="s">
        <v>28</v>
      </c>
      <c r="R15" s="5"/>
      <c r="S15" s="5"/>
      <c r="T15" s="5"/>
      <c r="U15" s="5"/>
      <c r="V15" s="5"/>
      <c r="W15" s="5"/>
      <c r="X15" s="5"/>
      <c r="Y15" s="5"/>
    </row>
    <row r="16" spans="1:52" ht="102" x14ac:dyDescent="0.2">
      <c r="A16" s="17" t="e">
        <f t="shared" si="5"/>
        <v>#REF!</v>
      </c>
      <c r="B16" s="2">
        <v>46072</v>
      </c>
      <c r="C16" s="4" t="s">
        <v>99</v>
      </c>
      <c r="D16" s="5" t="s">
        <v>100</v>
      </c>
      <c r="E16" s="7">
        <v>904662228</v>
      </c>
      <c r="F16" s="5" t="s">
        <v>67</v>
      </c>
      <c r="H16" s="21" t="s">
        <v>101</v>
      </c>
      <c r="I16" s="5" t="s">
        <v>40</v>
      </c>
      <c r="J16" s="5" t="s">
        <v>36</v>
      </c>
      <c r="K16" s="5" t="s">
        <v>36</v>
      </c>
      <c r="L16" s="16" t="s">
        <v>102</v>
      </c>
      <c r="M16" s="5"/>
      <c r="N16" s="5"/>
      <c r="O16" s="5" t="s">
        <v>45</v>
      </c>
      <c r="P16" s="5" t="s">
        <v>23</v>
      </c>
      <c r="Q16" s="5" t="s">
        <v>20</v>
      </c>
      <c r="R16" s="5"/>
      <c r="S16" s="5"/>
      <c r="T16" s="5"/>
      <c r="U16" s="5"/>
      <c r="V16" s="5"/>
      <c r="W16" s="5"/>
      <c r="X16" s="5"/>
      <c r="Y16" s="5"/>
    </row>
    <row r="17" spans="1:25" ht="63.75" x14ac:dyDescent="0.2">
      <c r="A17" s="17" t="e">
        <f t="shared" si="5"/>
        <v>#REF!</v>
      </c>
      <c r="B17" s="2">
        <v>46072</v>
      </c>
      <c r="C17" s="33" t="s">
        <v>96</v>
      </c>
      <c r="D17" s="5" t="s">
        <v>103</v>
      </c>
      <c r="E17" s="7">
        <v>914633652</v>
      </c>
      <c r="F17" s="5" t="s">
        <v>44</v>
      </c>
      <c r="H17" s="21" t="s">
        <v>104</v>
      </c>
      <c r="I17" s="5" t="s">
        <v>40</v>
      </c>
      <c r="J17" s="5" t="s">
        <v>36</v>
      </c>
      <c r="K17" s="5" t="s">
        <v>36</v>
      </c>
      <c r="L17" s="16" t="s">
        <v>105</v>
      </c>
      <c r="M17" s="5"/>
      <c r="N17" s="5"/>
      <c r="O17" s="5" t="s">
        <v>45</v>
      </c>
      <c r="P17" s="5" t="s">
        <v>23</v>
      </c>
      <c r="Q17" s="5" t="s">
        <v>20</v>
      </c>
      <c r="R17" s="5"/>
      <c r="S17" s="5"/>
      <c r="T17" s="5"/>
      <c r="U17" s="5"/>
      <c r="V17" s="5"/>
      <c r="W17" s="5"/>
      <c r="X17" s="5"/>
      <c r="Y17" s="5"/>
    </row>
    <row r="18" spans="1:25" ht="63.75" x14ac:dyDescent="0.2">
      <c r="A18" s="17" t="e">
        <f t="shared" ref="A18:A21" si="6">#REF!+1</f>
        <v>#REF!</v>
      </c>
      <c r="B18" s="2">
        <v>46073</v>
      </c>
      <c r="C18" s="25" t="s">
        <v>36</v>
      </c>
      <c r="D18" s="5" t="s">
        <v>106</v>
      </c>
      <c r="E18" s="7">
        <v>363181668</v>
      </c>
      <c r="F18" s="5" t="s">
        <v>38</v>
      </c>
      <c r="H18" s="29" t="s">
        <v>107</v>
      </c>
      <c r="I18" s="5" t="s">
        <v>40</v>
      </c>
      <c r="J18" s="5" t="s">
        <v>36</v>
      </c>
      <c r="K18" s="5" t="s">
        <v>36</v>
      </c>
      <c r="L18" s="16" t="s">
        <v>108</v>
      </c>
      <c r="M18" s="5" t="s">
        <v>109</v>
      </c>
      <c r="N18" s="5"/>
      <c r="O18" s="5" t="s">
        <v>45</v>
      </c>
      <c r="P18" s="5" t="s">
        <v>23</v>
      </c>
      <c r="Q18" s="5" t="s">
        <v>30</v>
      </c>
      <c r="R18" s="5"/>
      <c r="S18" s="5"/>
      <c r="T18" s="5"/>
      <c r="U18" s="5"/>
      <c r="V18" s="5"/>
      <c r="W18" s="5"/>
      <c r="X18" s="5"/>
      <c r="Y18" s="5"/>
    </row>
    <row r="19" spans="1:25" ht="76.5" x14ac:dyDescent="0.2">
      <c r="A19" s="17" t="e">
        <f t="shared" si="6"/>
        <v>#REF!</v>
      </c>
      <c r="B19" s="2">
        <v>46074</v>
      </c>
      <c r="C19" s="4" t="s">
        <v>2</v>
      </c>
      <c r="D19" s="5" t="s">
        <v>110</v>
      </c>
      <c r="E19" s="7">
        <v>983247867</v>
      </c>
      <c r="F19" s="5" t="s">
        <v>9</v>
      </c>
      <c r="H19" s="29" t="s">
        <v>111</v>
      </c>
      <c r="I19" s="5"/>
      <c r="J19" s="5" t="s">
        <v>36</v>
      </c>
      <c r="K19" s="5" t="s">
        <v>36</v>
      </c>
      <c r="L19" s="16" t="s">
        <v>112</v>
      </c>
      <c r="M19" s="5" t="s">
        <v>113</v>
      </c>
      <c r="N19" s="5" t="s">
        <v>114</v>
      </c>
      <c r="O19" s="5" t="s">
        <v>43</v>
      </c>
      <c r="P19" s="5" t="s">
        <v>21</v>
      </c>
      <c r="Q19" s="5" t="s">
        <v>31</v>
      </c>
      <c r="R19" s="5"/>
      <c r="S19" s="5"/>
      <c r="T19" s="5"/>
      <c r="U19" s="5"/>
      <c r="V19" s="5"/>
      <c r="W19" s="5"/>
      <c r="X19" s="5"/>
      <c r="Y19" s="5"/>
    </row>
    <row r="20" spans="1:25" ht="89.25" x14ac:dyDescent="0.2">
      <c r="A20" s="17" t="e">
        <f t="shared" si="6"/>
        <v>#REF!</v>
      </c>
      <c r="B20" s="2">
        <v>46075</v>
      </c>
      <c r="C20" s="4" t="s">
        <v>2</v>
      </c>
      <c r="D20" s="5" t="s">
        <v>115</v>
      </c>
      <c r="E20" s="7">
        <v>944070239</v>
      </c>
      <c r="F20" s="5" t="s">
        <v>41</v>
      </c>
      <c r="H20" s="11" t="s">
        <v>116</v>
      </c>
      <c r="I20" s="5"/>
      <c r="J20" s="5" t="s">
        <v>36</v>
      </c>
      <c r="K20" s="5" t="s">
        <v>36</v>
      </c>
      <c r="L20" s="16" t="s">
        <v>118</v>
      </c>
      <c r="M20" s="5" t="s">
        <v>70</v>
      </c>
      <c r="N20" s="5"/>
      <c r="O20" s="5" t="s">
        <v>43</v>
      </c>
      <c r="P20" s="5" t="s">
        <v>23</v>
      </c>
      <c r="Q20" s="5" t="s">
        <v>20</v>
      </c>
      <c r="R20" s="5"/>
      <c r="S20" s="5"/>
      <c r="T20" s="5"/>
      <c r="U20" s="5"/>
      <c r="V20" s="5"/>
      <c r="W20" s="5"/>
      <c r="X20" s="5"/>
      <c r="Y20" s="5"/>
    </row>
    <row r="21" spans="1:25" ht="89.25" x14ac:dyDescent="0.2">
      <c r="A21" s="17" t="e">
        <f t="shared" si="6"/>
        <v>#REF!</v>
      </c>
      <c r="B21" s="2">
        <v>46076</v>
      </c>
      <c r="C21" s="25" t="s">
        <v>36</v>
      </c>
      <c r="D21" s="5" t="s">
        <v>119</v>
      </c>
      <c r="E21" s="7">
        <v>979567070</v>
      </c>
      <c r="F21" s="5" t="s">
        <v>67</v>
      </c>
      <c r="H21" s="29" t="s">
        <v>120</v>
      </c>
      <c r="I21" s="5"/>
      <c r="J21" s="5" t="s">
        <v>36</v>
      </c>
      <c r="K21" s="5" t="s">
        <v>36</v>
      </c>
      <c r="L21" s="16" t="s">
        <v>121</v>
      </c>
      <c r="M21" s="5"/>
      <c r="N21" s="5"/>
      <c r="O21" s="5" t="s">
        <v>43</v>
      </c>
      <c r="P21" s="5" t="s">
        <v>23</v>
      </c>
      <c r="Q21" s="5" t="s">
        <v>20</v>
      </c>
      <c r="R21" s="5"/>
      <c r="S21" s="5"/>
      <c r="T21" s="5"/>
      <c r="U21" s="5"/>
      <c r="V21" s="5"/>
      <c r="W21" s="5"/>
      <c r="X21" s="5"/>
      <c r="Y21" s="5"/>
    </row>
    <row r="22" spans="1:25" ht="102" x14ac:dyDescent="0.2">
      <c r="A22" s="17" t="e">
        <f>A21+1</f>
        <v>#REF!</v>
      </c>
      <c r="B22" s="2">
        <v>46076</v>
      </c>
      <c r="C22" s="25" t="s">
        <v>36</v>
      </c>
      <c r="D22" s="5" t="s">
        <v>122</v>
      </c>
      <c r="E22" s="7">
        <v>944953869</v>
      </c>
      <c r="F22" s="5" t="s">
        <v>38</v>
      </c>
      <c r="H22" s="29" t="s">
        <v>123</v>
      </c>
      <c r="I22" s="5"/>
      <c r="J22" s="5" t="s">
        <v>36</v>
      </c>
      <c r="K22" s="5" t="s">
        <v>36</v>
      </c>
      <c r="L22" s="16" t="s">
        <v>124</v>
      </c>
      <c r="M22" s="5"/>
      <c r="N22" s="5"/>
      <c r="O22" s="5" t="s">
        <v>43</v>
      </c>
      <c r="P22" s="5" t="s">
        <v>23</v>
      </c>
      <c r="Q22" s="5" t="s">
        <v>30</v>
      </c>
      <c r="R22" s="5"/>
      <c r="S22" s="5"/>
      <c r="T22" s="5"/>
      <c r="U22" s="5"/>
      <c r="V22" s="5"/>
      <c r="W22" s="5"/>
      <c r="X22" s="5"/>
      <c r="Y22" s="5"/>
    </row>
    <row r="23" spans="1:25" ht="51" x14ac:dyDescent="0.2">
      <c r="A23" s="17" t="e">
        <f t="shared" ref="A23:A26" si="7">#REF!+1</f>
        <v>#REF!</v>
      </c>
      <c r="B23" s="2">
        <v>46076</v>
      </c>
      <c r="C23" s="4" t="s">
        <v>2</v>
      </c>
      <c r="D23" s="5" t="s">
        <v>125</v>
      </c>
      <c r="E23" s="7">
        <v>966971999</v>
      </c>
      <c r="F23" s="5" t="s">
        <v>9</v>
      </c>
      <c r="H23" s="29" t="s">
        <v>126</v>
      </c>
      <c r="I23" s="5"/>
      <c r="J23" s="5" t="s">
        <v>36</v>
      </c>
      <c r="K23" s="5" t="s">
        <v>36</v>
      </c>
      <c r="L23" s="16" t="s">
        <v>127</v>
      </c>
      <c r="M23" s="5"/>
      <c r="N23" s="5"/>
      <c r="O23" s="5" t="s">
        <v>43</v>
      </c>
      <c r="P23" s="5" t="s">
        <v>23</v>
      </c>
      <c r="Q23" s="5" t="s">
        <v>20</v>
      </c>
      <c r="R23" s="5"/>
      <c r="S23" s="5"/>
      <c r="T23" s="5"/>
      <c r="U23" s="5"/>
      <c r="V23" s="5"/>
      <c r="W23" s="5"/>
      <c r="X23" s="5"/>
      <c r="Y23" s="5"/>
    </row>
    <row r="24" spans="1:25" ht="102" x14ac:dyDescent="0.2">
      <c r="A24" s="17" t="e">
        <f t="shared" si="7"/>
        <v>#REF!</v>
      </c>
      <c r="B24" s="2">
        <v>46078</v>
      </c>
      <c r="C24" s="25" t="s">
        <v>36</v>
      </c>
      <c r="D24" s="5" t="s">
        <v>128</v>
      </c>
      <c r="E24" s="7">
        <v>387879644</v>
      </c>
      <c r="F24" s="35" t="s">
        <v>44</v>
      </c>
      <c r="H24" s="29" t="s">
        <v>129</v>
      </c>
      <c r="I24" s="5"/>
      <c r="J24" s="5" t="s">
        <v>36</v>
      </c>
      <c r="K24" s="5" t="s">
        <v>36</v>
      </c>
      <c r="L24" s="16" t="s">
        <v>130</v>
      </c>
      <c r="M24" s="5"/>
      <c r="N24" s="5"/>
      <c r="O24" s="5" t="s">
        <v>43</v>
      </c>
      <c r="P24" s="5" t="s">
        <v>23</v>
      </c>
      <c r="Q24" s="5" t="s">
        <v>20</v>
      </c>
      <c r="R24" s="5"/>
      <c r="S24" s="5"/>
      <c r="T24" s="5"/>
      <c r="U24" s="5"/>
      <c r="V24" s="5"/>
      <c r="W24" s="5"/>
      <c r="X24" s="5"/>
      <c r="Y24" s="5"/>
    </row>
    <row r="25" spans="1:25" ht="52.5" x14ac:dyDescent="0.3">
      <c r="A25" s="17" t="e">
        <f t="shared" si="7"/>
        <v>#REF!</v>
      </c>
      <c r="B25" s="2">
        <v>46080</v>
      </c>
      <c r="C25" s="4" t="s">
        <v>2</v>
      </c>
      <c r="D25" s="30" t="s">
        <v>131</v>
      </c>
      <c r="E25" s="34">
        <v>984314226</v>
      </c>
      <c r="F25" s="5" t="s">
        <v>41</v>
      </c>
      <c r="G25" s="36" t="s">
        <v>132</v>
      </c>
      <c r="H25" s="21" t="s">
        <v>134</v>
      </c>
      <c r="I25" s="5"/>
      <c r="J25" s="5" t="s">
        <v>36</v>
      </c>
      <c r="K25" s="5" t="s">
        <v>36</v>
      </c>
      <c r="L25" s="16" t="s">
        <v>135</v>
      </c>
      <c r="M25" s="5"/>
      <c r="N25" s="5"/>
      <c r="O25" s="5" t="s">
        <v>45</v>
      </c>
      <c r="P25" s="5" t="s">
        <v>23</v>
      </c>
      <c r="Q25" s="5" t="s">
        <v>20</v>
      </c>
      <c r="R25" s="5"/>
      <c r="S25" s="5"/>
      <c r="T25" s="5"/>
      <c r="U25" s="5"/>
      <c r="V25" s="5"/>
      <c r="W25" s="5"/>
      <c r="X25" s="5"/>
      <c r="Y25" s="5"/>
    </row>
    <row r="26" spans="1:25" ht="27" x14ac:dyDescent="0.3">
      <c r="A26" s="17" t="e">
        <f t="shared" si="7"/>
        <v>#REF!</v>
      </c>
      <c r="B26" s="2">
        <v>46081</v>
      </c>
      <c r="C26" s="4" t="s">
        <v>2</v>
      </c>
      <c r="D26" s="30" t="s">
        <v>136</v>
      </c>
      <c r="E26" s="34">
        <v>913309875</v>
      </c>
      <c r="F26" s="5" t="s">
        <v>41</v>
      </c>
      <c r="H26" s="21" t="s">
        <v>137</v>
      </c>
      <c r="I26" s="5"/>
      <c r="J26" s="5"/>
      <c r="K26" s="5" t="s">
        <v>36</v>
      </c>
      <c r="L26" s="16" t="s">
        <v>138</v>
      </c>
      <c r="M26" s="5"/>
      <c r="N26" s="5"/>
      <c r="O26" s="5"/>
      <c r="P26" s="5" t="s">
        <v>27</v>
      </c>
      <c r="Q26" s="5"/>
      <c r="R26" s="5"/>
      <c r="S26" s="5"/>
      <c r="T26" s="5"/>
      <c r="U26" s="5"/>
      <c r="V26" s="5"/>
      <c r="W26" s="5"/>
      <c r="X26" s="5"/>
      <c r="Y26" s="5"/>
    </row>
    <row r="27" spans="1:25" ht="52.5" x14ac:dyDescent="0.3">
      <c r="A27" s="17" t="e">
        <f t="shared" ref="A27:A31" si="8">A26+1</f>
        <v>#REF!</v>
      </c>
      <c r="B27" s="2">
        <v>46081</v>
      </c>
      <c r="C27" s="4" t="s">
        <v>2</v>
      </c>
      <c r="D27" s="30" t="s">
        <v>139</v>
      </c>
      <c r="E27" s="34">
        <v>912555558</v>
      </c>
      <c r="F27" s="5" t="s">
        <v>41</v>
      </c>
      <c r="H27" s="21" t="s">
        <v>140</v>
      </c>
      <c r="I27" s="5"/>
      <c r="J27" s="5"/>
      <c r="K27" s="5" t="s">
        <v>36</v>
      </c>
      <c r="L27" s="16" t="s">
        <v>141</v>
      </c>
      <c r="M27" s="5"/>
      <c r="N27" s="5"/>
      <c r="O27" s="5" t="s">
        <v>43</v>
      </c>
      <c r="P27" s="5" t="s">
        <v>23</v>
      </c>
      <c r="Q27" s="5" t="s">
        <v>20</v>
      </c>
      <c r="R27" s="5"/>
      <c r="S27" s="5"/>
      <c r="T27" s="5"/>
      <c r="U27" s="5"/>
      <c r="V27" s="5"/>
      <c r="W27" s="5"/>
      <c r="X27" s="5"/>
      <c r="Y27" s="5"/>
    </row>
    <row r="28" spans="1:25" ht="17.25" x14ac:dyDescent="0.3">
      <c r="A28" s="17" t="e">
        <f t="shared" si="8"/>
        <v>#REF!</v>
      </c>
      <c r="B28" s="2">
        <v>46081</v>
      </c>
      <c r="C28" s="4" t="s">
        <v>2</v>
      </c>
      <c r="D28" s="30" t="s">
        <v>143</v>
      </c>
      <c r="E28" s="37">
        <v>947658888</v>
      </c>
      <c r="F28" s="5" t="s">
        <v>41</v>
      </c>
      <c r="H28" s="21" t="s">
        <v>144</v>
      </c>
      <c r="I28" s="5"/>
      <c r="J28" s="5"/>
      <c r="K28" s="5" t="s">
        <v>36</v>
      </c>
      <c r="L28" s="16" t="s">
        <v>133</v>
      </c>
      <c r="M28" s="5"/>
      <c r="N28" s="5"/>
      <c r="O28" s="5"/>
      <c r="P28" s="5" t="s">
        <v>65</v>
      </c>
      <c r="Q28" s="5" t="s">
        <v>28</v>
      </c>
      <c r="R28" s="5"/>
      <c r="S28" s="5"/>
      <c r="T28" s="5"/>
      <c r="U28" s="5"/>
      <c r="V28" s="5"/>
      <c r="W28" s="5"/>
      <c r="X28" s="5"/>
      <c r="Y28" s="5"/>
    </row>
    <row r="29" spans="1:25" ht="65.25" x14ac:dyDescent="0.3">
      <c r="A29" s="17" t="e">
        <f t="shared" si="8"/>
        <v>#REF!</v>
      </c>
      <c r="B29" s="2">
        <v>46081</v>
      </c>
      <c r="C29" s="4" t="s">
        <v>2</v>
      </c>
      <c r="D29" s="30" t="s">
        <v>145</v>
      </c>
      <c r="E29" s="34">
        <v>914086444</v>
      </c>
      <c r="F29" s="5"/>
      <c r="G29" s="17" t="s">
        <v>146</v>
      </c>
      <c r="H29" s="21" t="s">
        <v>147</v>
      </c>
      <c r="I29" s="5"/>
      <c r="J29" s="5"/>
      <c r="K29" s="5" t="s">
        <v>36</v>
      </c>
      <c r="L29" s="16" t="s">
        <v>148</v>
      </c>
      <c r="M29" s="5"/>
      <c r="N29" s="5"/>
      <c r="O29" s="5"/>
      <c r="P29" s="5" t="s">
        <v>22</v>
      </c>
      <c r="Q29" s="5" t="s">
        <v>28</v>
      </c>
      <c r="R29" s="5"/>
      <c r="S29" s="5"/>
      <c r="T29" s="5"/>
      <c r="U29" s="5"/>
      <c r="V29" s="5"/>
      <c r="W29" s="5"/>
      <c r="X29" s="5"/>
      <c r="Y29" s="5"/>
    </row>
    <row r="30" spans="1:25" ht="102" x14ac:dyDescent="0.2">
      <c r="A30" s="17" t="e">
        <f t="shared" si="8"/>
        <v>#REF!</v>
      </c>
      <c r="B30" s="2">
        <v>46082</v>
      </c>
      <c r="C30" s="4" t="s">
        <v>2</v>
      </c>
      <c r="D30" s="4" t="s">
        <v>149</v>
      </c>
      <c r="E30" s="20">
        <v>973124705</v>
      </c>
      <c r="F30" s="5" t="s">
        <v>9</v>
      </c>
      <c r="H30" s="21" t="s">
        <v>150</v>
      </c>
      <c r="I30" s="5"/>
      <c r="J30" s="5" t="s">
        <v>36</v>
      </c>
      <c r="K30" s="5" t="s">
        <v>36</v>
      </c>
      <c r="L30" s="16" t="s">
        <v>151</v>
      </c>
      <c r="M30" s="5"/>
      <c r="N30" s="5"/>
      <c r="O30" s="5" t="s">
        <v>45</v>
      </c>
      <c r="P30" s="5" t="s">
        <v>21</v>
      </c>
      <c r="Q30" s="5" t="s">
        <v>20</v>
      </c>
      <c r="R30" s="5"/>
      <c r="S30" s="5"/>
      <c r="T30" s="5"/>
      <c r="U30" s="5"/>
      <c r="V30" s="5"/>
      <c r="W30" s="5"/>
      <c r="X30" s="5"/>
      <c r="Y30" s="5"/>
    </row>
    <row r="31" spans="1:25" ht="102" x14ac:dyDescent="0.2">
      <c r="A31" s="17" t="e">
        <f t="shared" si="8"/>
        <v>#REF!</v>
      </c>
      <c r="B31" s="2">
        <v>46083</v>
      </c>
      <c r="C31" s="5" t="s">
        <v>96</v>
      </c>
      <c r="D31" s="4" t="s">
        <v>152</v>
      </c>
      <c r="E31" s="20">
        <v>912747722</v>
      </c>
      <c r="F31" s="5" t="s">
        <v>38</v>
      </c>
      <c r="G31" s="17" t="s">
        <v>153</v>
      </c>
      <c r="H31" s="21" t="s">
        <v>154</v>
      </c>
      <c r="I31" s="5"/>
      <c r="J31" s="5" t="s">
        <v>36</v>
      </c>
      <c r="K31" s="5" t="s">
        <v>36</v>
      </c>
      <c r="L31" s="16" t="s">
        <v>155</v>
      </c>
      <c r="M31" s="5"/>
      <c r="N31" s="5"/>
      <c r="O31" s="5" t="s">
        <v>45</v>
      </c>
      <c r="P31" s="5" t="s">
        <v>23</v>
      </c>
      <c r="Q31" s="5" t="s">
        <v>20</v>
      </c>
      <c r="R31" s="5"/>
      <c r="S31" s="5"/>
      <c r="T31" s="5"/>
      <c r="U31" s="5"/>
      <c r="V31" s="5"/>
      <c r="W31" s="5"/>
      <c r="X31" s="5"/>
      <c r="Y31" s="5"/>
    </row>
    <row r="32" spans="1:25" ht="90.75" x14ac:dyDescent="0.3">
      <c r="A32" s="17" t="e">
        <f t="shared" ref="A32:A33" si="9">#REF!+1</f>
        <v>#REF!</v>
      </c>
      <c r="B32" s="2">
        <v>46081</v>
      </c>
      <c r="C32" s="4" t="s">
        <v>2</v>
      </c>
      <c r="D32" s="30" t="s">
        <v>156</v>
      </c>
      <c r="E32" s="34">
        <v>912215396</v>
      </c>
      <c r="F32" s="5" t="s">
        <v>38</v>
      </c>
      <c r="H32" s="21" t="s">
        <v>157</v>
      </c>
      <c r="I32" s="5"/>
      <c r="J32" s="5" t="s">
        <v>36</v>
      </c>
      <c r="K32" s="5" t="s">
        <v>36</v>
      </c>
      <c r="L32" s="16" t="s">
        <v>158</v>
      </c>
      <c r="M32" s="5"/>
      <c r="N32" s="5"/>
      <c r="O32" s="5" t="s">
        <v>43</v>
      </c>
      <c r="P32" s="5" t="s">
        <v>23</v>
      </c>
      <c r="Q32" s="5" t="s">
        <v>20</v>
      </c>
      <c r="R32" s="5"/>
      <c r="S32" s="5"/>
      <c r="T32" s="5"/>
      <c r="U32" s="5"/>
      <c r="V32" s="5"/>
      <c r="W32" s="5"/>
      <c r="X32" s="5"/>
      <c r="Y32" s="5"/>
    </row>
    <row r="33" spans="1:52" ht="90.75" x14ac:dyDescent="0.3">
      <c r="A33" s="17" t="e">
        <f t="shared" si="9"/>
        <v>#REF!</v>
      </c>
      <c r="B33" s="2">
        <v>46081</v>
      </c>
      <c r="C33" s="4" t="s">
        <v>2</v>
      </c>
      <c r="D33" s="30" t="s">
        <v>159</v>
      </c>
      <c r="E33" s="34">
        <v>986020817</v>
      </c>
      <c r="F33" s="5" t="s">
        <v>41</v>
      </c>
      <c r="H33" s="21" t="s">
        <v>160</v>
      </c>
      <c r="I33" s="5"/>
      <c r="J33" s="5" t="s">
        <v>36</v>
      </c>
      <c r="K33" s="5" t="s">
        <v>36</v>
      </c>
      <c r="L33" s="16" t="s">
        <v>161</v>
      </c>
      <c r="M33" s="5"/>
      <c r="N33" s="5"/>
      <c r="O33" s="5" t="s">
        <v>45</v>
      </c>
      <c r="P33" s="5" t="s">
        <v>23</v>
      </c>
      <c r="Q33" s="5" t="s">
        <v>20</v>
      </c>
      <c r="R33" s="5"/>
      <c r="S33" s="5"/>
      <c r="T33" s="5"/>
      <c r="U33" s="5"/>
      <c r="V33" s="5"/>
      <c r="W33" s="5"/>
      <c r="X33" s="5"/>
      <c r="Y33" s="5"/>
    </row>
    <row r="34" spans="1:52" ht="39" x14ac:dyDescent="0.25">
      <c r="A34" s="17" t="e">
        <f t="shared" ref="A34:A41" si="10">A33+1</f>
        <v>#REF!</v>
      </c>
      <c r="B34" s="2">
        <v>46081</v>
      </c>
      <c r="C34" s="4" t="s">
        <v>2</v>
      </c>
      <c r="D34" s="30" t="s">
        <v>162</v>
      </c>
      <c r="E34" s="31">
        <v>836638126</v>
      </c>
      <c r="F34" s="5" t="s">
        <v>163</v>
      </c>
      <c r="G34" s="17" t="s">
        <v>164</v>
      </c>
      <c r="H34" s="21" t="s">
        <v>165</v>
      </c>
      <c r="I34" s="5"/>
      <c r="J34" s="5" t="s">
        <v>36</v>
      </c>
      <c r="K34" s="5" t="s">
        <v>36</v>
      </c>
      <c r="L34" s="16" t="s">
        <v>166</v>
      </c>
      <c r="M34" s="5"/>
      <c r="N34" s="5"/>
      <c r="O34" s="5"/>
      <c r="P34" s="5" t="s">
        <v>22</v>
      </c>
      <c r="Q34" s="5" t="s">
        <v>28</v>
      </c>
      <c r="R34" s="5"/>
      <c r="S34" s="5"/>
      <c r="T34" s="5"/>
      <c r="U34" s="5"/>
      <c r="V34" s="5"/>
      <c r="W34" s="5"/>
      <c r="X34" s="5"/>
      <c r="Y34" s="5"/>
    </row>
    <row r="35" spans="1:52" ht="267.75" x14ac:dyDescent="0.2">
      <c r="A35" s="17" t="e">
        <f t="shared" si="10"/>
        <v>#REF!</v>
      </c>
      <c r="B35" s="2">
        <v>46082</v>
      </c>
      <c r="C35" s="4" t="s">
        <v>2</v>
      </c>
      <c r="D35" s="4" t="s">
        <v>167</v>
      </c>
      <c r="E35" s="38">
        <v>912380393</v>
      </c>
      <c r="F35" s="5" t="s">
        <v>41</v>
      </c>
      <c r="G35" s="32" t="s">
        <v>168</v>
      </c>
      <c r="H35" s="21" t="s">
        <v>169</v>
      </c>
      <c r="I35" s="5" t="s">
        <v>40</v>
      </c>
      <c r="J35" s="5" t="s">
        <v>36</v>
      </c>
      <c r="K35" s="5" t="s">
        <v>36</v>
      </c>
      <c r="L35" s="26" t="s">
        <v>170</v>
      </c>
      <c r="M35" s="5"/>
      <c r="N35" s="5"/>
      <c r="O35" s="5" t="s">
        <v>43</v>
      </c>
      <c r="P35" s="5" t="s">
        <v>24</v>
      </c>
      <c r="Q35" s="5" t="s">
        <v>20</v>
      </c>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ht="17.25" x14ac:dyDescent="0.3">
      <c r="A36" s="17" t="e">
        <f t="shared" si="10"/>
        <v>#REF!</v>
      </c>
      <c r="B36" s="2">
        <v>46082</v>
      </c>
      <c r="C36" s="4" t="s">
        <v>2</v>
      </c>
      <c r="D36" s="30" t="s">
        <v>171</v>
      </c>
      <c r="E36" s="34">
        <v>357232554</v>
      </c>
      <c r="F36" s="5" t="s">
        <v>41</v>
      </c>
      <c r="G36" s="8"/>
      <c r="H36" s="21" t="s">
        <v>172</v>
      </c>
      <c r="I36" s="5" t="s">
        <v>40</v>
      </c>
      <c r="J36" s="5" t="s">
        <v>36</v>
      </c>
      <c r="K36" s="5" t="s">
        <v>36</v>
      </c>
      <c r="L36" s="26" t="s">
        <v>173</v>
      </c>
      <c r="M36" s="5"/>
      <c r="N36" s="5"/>
      <c r="O36" s="5"/>
      <c r="P36" s="5" t="s">
        <v>26</v>
      </c>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ht="17.25" x14ac:dyDescent="0.3">
      <c r="A37" s="17" t="e">
        <f t="shared" si="10"/>
        <v>#REF!</v>
      </c>
      <c r="B37" s="2">
        <v>46082</v>
      </c>
      <c r="C37" s="4" t="s">
        <v>2</v>
      </c>
      <c r="D37" s="30" t="s">
        <v>174</v>
      </c>
      <c r="E37" s="34">
        <v>986345427</v>
      </c>
      <c r="F37" s="5" t="s">
        <v>41</v>
      </c>
      <c r="G37" s="8"/>
      <c r="H37" s="21" t="s">
        <v>175</v>
      </c>
      <c r="I37" s="5" t="s">
        <v>40</v>
      </c>
      <c r="J37" s="5" t="s">
        <v>36</v>
      </c>
      <c r="K37" s="5" t="s">
        <v>36</v>
      </c>
      <c r="L37" s="26" t="s">
        <v>176</v>
      </c>
      <c r="M37" s="5"/>
      <c r="N37" s="5"/>
      <c r="O37" s="5"/>
      <c r="P37" s="5" t="s">
        <v>26</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ht="17.25" x14ac:dyDescent="0.3">
      <c r="A38" s="17" t="e">
        <f t="shared" si="10"/>
        <v>#REF!</v>
      </c>
      <c r="B38" s="2">
        <v>46082</v>
      </c>
      <c r="C38" s="4" t="s">
        <v>2</v>
      </c>
      <c r="D38" s="30" t="s">
        <v>177</v>
      </c>
      <c r="E38" s="34">
        <v>329269233</v>
      </c>
      <c r="F38" s="5" t="s">
        <v>41</v>
      </c>
      <c r="G38" s="8"/>
      <c r="H38" s="21" t="s">
        <v>178</v>
      </c>
      <c r="I38" s="5" t="s">
        <v>40</v>
      </c>
      <c r="J38" s="5" t="s">
        <v>36</v>
      </c>
      <c r="K38" s="5" t="s">
        <v>36</v>
      </c>
      <c r="L38" s="26" t="s">
        <v>70</v>
      </c>
      <c r="M38" s="5"/>
      <c r="N38" s="5"/>
      <c r="O38" s="5"/>
      <c r="P38" s="5" t="s">
        <v>26</v>
      </c>
      <c r="Q38" s="5" t="s">
        <v>20</v>
      </c>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ht="17.25" x14ac:dyDescent="0.3">
      <c r="A39" s="17" t="e">
        <f t="shared" si="10"/>
        <v>#REF!</v>
      </c>
      <c r="B39" s="2">
        <v>46082</v>
      </c>
      <c r="C39" s="4" t="s">
        <v>2</v>
      </c>
      <c r="D39" s="30" t="s">
        <v>179</v>
      </c>
      <c r="E39" s="34">
        <v>835942685</v>
      </c>
      <c r="F39" s="5" t="s">
        <v>38</v>
      </c>
      <c r="G39" s="8"/>
      <c r="H39" s="21" t="s">
        <v>180</v>
      </c>
      <c r="I39" s="5" t="s">
        <v>40</v>
      </c>
      <c r="J39" s="5" t="s">
        <v>36</v>
      </c>
      <c r="K39" s="5" t="s">
        <v>36</v>
      </c>
      <c r="L39" s="26" t="s">
        <v>70</v>
      </c>
      <c r="M39" s="5"/>
      <c r="N39" s="5"/>
      <c r="O39" s="5"/>
      <c r="P39" s="5" t="s">
        <v>26</v>
      </c>
      <c r="Q39" s="5" t="s">
        <v>20</v>
      </c>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ht="17.25" x14ac:dyDescent="0.3">
      <c r="A40" s="17" t="e">
        <f t="shared" si="10"/>
        <v>#REF!</v>
      </c>
      <c r="B40" s="2">
        <v>46082</v>
      </c>
      <c r="C40" s="4" t="s">
        <v>2</v>
      </c>
      <c r="D40" s="30" t="s">
        <v>181</v>
      </c>
      <c r="E40" s="34">
        <v>913512410</v>
      </c>
      <c r="F40" s="5" t="s">
        <v>9</v>
      </c>
      <c r="G40" s="8"/>
      <c r="H40" s="21" t="s">
        <v>182</v>
      </c>
      <c r="I40" s="5" t="s">
        <v>40</v>
      </c>
      <c r="J40" s="5" t="s">
        <v>36</v>
      </c>
      <c r="K40" s="5" t="s">
        <v>36</v>
      </c>
      <c r="L40" s="5" t="s">
        <v>183</v>
      </c>
      <c r="M40" s="5"/>
      <c r="N40" s="5"/>
      <c r="O40" s="5"/>
      <c r="P40" s="5" t="s">
        <v>26</v>
      </c>
      <c r="Q40" s="5" t="s">
        <v>20</v>
      </c>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ht="78" x14ac:dyDescent="0.3">
      <c r="A41" s="17" t="e">
        <f t="shared" si="10"/>
        <v>#REF!</v>
      </c>
      <c r="B41" s="2">
        <v>46082</v>
      </c>
      <c r="C41" s="4" t="s">
        <v>2</v>
      </c>
      <c r="D41" s="4" t="s">
        <v>184</v>
      </c>
      <c r="E41" s="34">
        <v>969798670</v>
      </c>
      <c r="F41" s="5" t="s">
        <v>38</v>
      </c>
      <c r="G41" s="39" t="s">
        <v>185</v>
      </c>
      <c r="H41" s="21" t="s">
        <v>186</v>
      </c>
      <c r="I41" s="5" t="s">
        <v>40</v>
      </c>
      <c r="J41" s="5" t="s">
        <v>36</v>
      </c>
      <c r="K41" s="5" t="s">
        <v>36</v>
      </c>
      <c r="L41" s="16" t="s">
        <v>187</v>
      </c>
      <c r="M41" s="5"/>
      <c r="N41" s="5"/>
      <c r="O41" s="5" t="s">
        <v>43</v>
      </c>
      <c r="P41" s="5" t="s">
        <v>24</v>
      </c>
      <c r="Q41" s="5" t="s">
        <v>30</v>
      </c>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ht="17.25" x14ac:dyDescent="0.3">
      <c r="A42" s="17" t="e">
        <f t="shared" ref="A42:A43" si="11">#REF!+1</f>
        <v>#REF!</v>
      </c>
      <c r="B42" s="2">
        <v>46084</v>
      </c>
      <c r="C42" s="4" t="s">
        <v>2</v>
      </c>
      <c r="D42" s="30" t="s">
        <v>188</v>
      </c>
      <c r="E42" s="34">
        <v>326813768</v>
      </c>
      <c r="F42" s="5" t="s">
        <v>9</v>
      </c>
      <c r="G42" s="8"/>
      <c r="H42" s="11" t="s">
        <v>189</v>
      </c>
      <c r="I42" s="5"/>
      <c r="J42" s="5" t="s">
        <v>36</v>
      </c>
      <c r="K42" s="5" t="s">
        <v>36</v>
      </c>
      <c r="L42" s="26" t="s">
        <v>70</v>
      </c>
      <c r="M42" s="5"/>
      <c r="N42" s="5"/>
      <c r="O42" s="5"/>
      <c r="P42" s="5" t="s">
        <v>26</v>
      </c>
      <c r="Q42" s="5" t="s">
        <v>20</v>
      </c>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ht="51" x14ac:dyDescent="0.2">
      <c r="A43" s="17" t="e">
        <f t="shared" si="11"/>
        <v>#REF!</v>
      </c>
      <c r="B43" s="2">
        <v>46084</v>
      </c>
      <c r="C43" s="5" t="s">
        <v>117</v>
      </c>
      <c r="D43" s="5" t="s">
        <v>190</v>
      </c>
      <c r="E43" s="7">
        <v>987654321</v>
      </c>
      <c r="F43" s="5" t="s">
        <v>38</v>
      </c>
      <c r="G43" s="5" t="s">
        <v>191</v>
      </c>
      <c r="H43" s="11" t="s">
        <v>192</v>
      </c>
      <c r="I43" s="5" t="s">
        <v>40</v>
      </c>
      <c r="J43" s="5" t="s">
        <v>36</v>
      </c>
      <c r="K43" s="5" t="s">
        <v>36</v>
      </c>
      <c r="L43" s="26" t="s">
        <v>193</v>
      </c>
      <c r="M43" s="5"/>
      <c r="N43" s="5"/>
      <c r="O43" s="5"/>
      <c r="P43" s="5" t="s">
        <v>23</v>
      </c>
      <c r="Q43" s="5" t="s">
        <v>30</v>
      </c>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ht="12.75" x14ac:dyDescent="0.2">
      <c r="A44" s="17" t="e">
        <f>A43+1</f>
        <v>#REF!</v>
      </c>
      <c r="B44" s="2">
        <v>46084</v>
      </c>
      <c r="C44" s="5" t="s">
        <v>96</v>
      </c>
      <c r="D44" s="5" t="s">
        <v>194</v>
      </c>
      <c r="E44" s="7">
        <v>925232888</v>
      </c>
      <c r="F44" s="5" t="s">
        <v>38</v>
      </c>
      <c r="G44" s="5" t="s">
        <v>195</v>
      </c>
      <c r="H44" s="11" t="s">
        <v>196</v>
      </c>
      <c r="I44" s="5" t="s">
        <v>40</v>
      </c>
      <c r="J44" s="5" t="s">
        <v>36</v>
      </c>
      <c r="K44" s="5" t="s">
        <v>36</v>
      </c>
      <c r="L44" s="26" t="s">
        <v>197</v>
      </c>
      <c r="M44" s="5"/>
      <c r="N44" s="5"/>
      <c r="O44" s="5"/>
      <c r="P44" s="5" t="s">
        <v>26</v>
      </c>
      <c r="Q44" s="5" t="s">
        <v>20</v>
      </c>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ht="204" x14ac:dyDescent="0.2">
      <c r="A45" s="17" t="e">
        <f>#REF!+1</f>
        <v>#REF!</v>
      </c>
      <c r="B45" s="2">
        <v>46085</v>
      </c>
      <c r="C45" s="5" t="s">
        <v>117</v>
      </c>
      <c r="D45" s="5" t="s">
        <v>198</v>
      </c>
      <c r="E45" s="7">
        <v>327387162</v>
      </c>
      <c r="F45" s="5" t="s">
        <v>38</v>
      </c>
      <c r="G45" s="5"/>
      <c r="H45" s="11" t="s">
        <v>199</v>
      </c>
      <c r="I45" s="5"/>
      <c r="J45" s="5"/>
      <c r="K45" s="5" t="s">
        <v>36</v>
      </c>
      <c r="L45" s="26" t="s">
        <v>200</v>
      </c>
      <c r="M45" s="5"/>
      <c r="N45" s="5"/>
      <c r="O45" s="5" t="s">
        <v>43</v>
      </c>
      <c r="P45" s="5" t="s">
        <v>23</v>
      </c>
      <c r="Q45" s="5" t="s">
        <v>20</v>
      </c>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ht="24.75" customHeight="1" x14ac:dyDescent="0.2">
      <c r="A46" s="17" t="e">
        <f>A45+1</f>
        <v>#REF!</v>
      </c>
      <c r="B46" s="18">
        <v>46085</v>
      </c>
      <c r="C46" s="5" t="s">
        <v>96</v>
      </c>
      <c r="D46" s="5" t="s">
        <v>201</v>
      </c>
      <c r="E46" s="5">
        <v>904343218</v>
      </c>
      <c r="F46" s="5" t="s">
        <v>41</v>
      </c>
      <c r="G46" s="5" t="s">
        <v>202</v>
      </c>
      <c r="H46" s="23" t="s">
        <v>203</v>
      </c>
      <c r="I46" s="5" t="s">
        <v>40</v>
      </c>
      <c r="J46" s="5"/>
      <c r="K46" s="5" t="s">
        <v>36</v>
      </c>
      <c r="L46" s="26" t="s">
        <v>204</v>
      </c>
      <c r="M46" s="5"/>
      <c r="N46" s="5"/>
      <c r="O46" s="5" t="s">
        <v>45</v>
      </c>
      <c r="P46" s="5" t="s">
        <v>24</v>
      </c>
      <c r="Q46" s="5" t="s">
        <v>20</v>
      </c>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ht="51" x14ac:dyDescent="0.2">
      <c r="B47" s="40">
        <v>46087</v>
      </c>
      <c r="C47" s="17" t="s">
        <v>117</v>
      </c>
      <c r="D47" s="17" t="s">
        <v>205</v>
      </c>
      <c r="E47" s="17">
        <v>919619857</v>
      </c>
      <c r="F47" s="17" t="s">
        <v>41</v>
      </c>
      <c r="G47" s="17" t="s">
        <v>206</v>
      </c>
      <c r="H47" s="41" t="s">
        <v>207</v>
      </c>
      <c r="I47" s="17" t="s">
        <v>142</v>
      </c>
      <c r="J47" s="5"/>
      <c r="K47" s="5" t="s">
        <v>36</v>
      </c>
      <c r="L47" s="42" t="s">
        <v>208</v>
      </c>
      <c r="M47" s="17" t="s">
        <v>70</v>
      </c>
      <c r="O47" s="5" t="s">
        <v>43</v>
      </c>
      <c r="P47" s="5" t="s">
        <v>23</v>
      </c>
      <c r="Q47" s="5" t="s">
        <v>20</v>
      </c>
    </row>
    <row r="48" spans="1:52" ht="24.75" customHeight="1" x14ac:dyDescent="0.2">
      <c r="B48" s="40">
        <v>46092</v>
      </c>
      <c r="C48" s="17" t="s">
        <v>96</v>
      </c>
      <c r="D48" s="17" t="s">
        <v>209</v>
      </c>
      <c r="E48" s="17">
        <v>855626768</v>
      </c>
      <c r="F48" s="17" t="s">
        <v>38</v>
      </c>
      <c r="G48" s="17" t="s">
        <v>210</v>
      </c>
      <c r="H48" s="41" t="s">
        <v>211</v>
      </c>
      <c r="I48" s="17" t="s">
        <v>40</v>
      </c>
      <c r="J48" s="5"/>
      <c r="K48" s="5" t="s">
        <v>36</v>
      </c>
      <c r="L48" s="42" t="s">
        <v>212</v>
      </c>
      <c r="O48" s="5" t="s">
        <v>45</v>
      </c>
      <c r="P48" s="5" t="s">
        <v>23</v>
      </c>
      <c r="Q48" s="5" t="s">
        <v>20</v>
      </c>
    </row>
    <row r="49" spans="2:17" ht="38.25" x14ac:dyDescent="0.2">
      <c r="B49" s="40">
        <v>46092</v>
      </c>
      <c r="C49" s="17" t="s">
        <v>117</v>
      </c>
      <c r="D49" s="17" t="s">
        <v>213</v>
      </c>
      <c r="E49" s="17">
        <v>982332710</v>
      </c>
      <c r="F49" s="17" t="s">
        <v>9</v>
      </c>
      <c r="H49" s="41" t="s">
        <v>214</v>
      </c>
      <c r="I49" s="17" t="s">
        <v>40</v>
      </c>
      <c r="J49" s="5"/>
      <c r="K49" s="5" t="s">
        <v>36</v>
      </c>
      <c r="L49" s="43" t="s">
        <v>215</v>
      </c>
      <c r="O49" s="5" t="s">
        <v>45</v>
      </c>
      <c r="P49" s="5" t="s">
        <v>23</v>
      </c>
      <c r="Q49" s="5" t="s">
        <v>20</v>
      </c>
    </row>
    <row r="50" spans="2:17" ht="63.75" x14ac:dyDescent="0.2">
      <c r="B50" s="40">
        <v>46093</v>
      </c>
      <c r="C50" s="17" t="s">
        <v>117</v>
      </c>
      <c r="D50" s="17" t="s">
        <v>216</v>
      </c>
      <c r="E50" s="17">
        <v>989431152</v>
      </c>
      <c r="F50" s="17" t="s">
        <v>41</v>
      </c>
      <c r="H50" s="41" t="s">
        <v>217</v>
      </c>
      <c r="I50" s="17" t="s">
        <v>40</v>
      </c>
      <c r="J50" s="5"/>
      <c r="K50" s="5" t="s">
        <v>36</v>
      </c>
      <c r="L50" s="42" t="s">
        <v>218</v>
      </c>
      <c r="O50" s="5" t="s">
        <v>45</v>
      </c>
      <c r="P50" s="5" t="s">
        <v>24</v>
      </c>
      <c r="Q50" s="5" t="s">
        <v>20</v>
      </c>
    </row>
    <row r="51" spans="2:17" ht="51" x14ac:dyDescent="0.2">
      <c r="B51" s="40">
        <v>46094</v>
      </c>
      <c r="C51" s="17" t="s">
        <v>96</v>
      </c>
      <c r="D51" s="17" t="s">
        <v>219</v>
      </c>
      <c r="E51" s="17">
        <v>342676379</v>
      </c>
      <c r="G51" s="17" t="s">
        <v>220</v>
      </c>
      <c r="H51" s="41" t="s">
        <v>221</v>
      </c>
      <c r="I51" s="17" t="s">
        <v>40</v>
      </c>
      <c r="J51" s="5"/>
      <c r="K51" s="5" t="s">
        <v>36</v>
      </c>
      <c r="L51" s="42" t="s">
        <v>222</v>
      </c>
      <c r="O51" s="5" t="s">
        <v>45</v>
      </c>
      <c r="P51" s="5" t="s">
        <v>24</v>
      </c>
      <c r="Q51" s="5" t="s">
        <v>20</v>
      </c>
    </row>
    <row r="52" spans="2:17" ht="38.25" x14ac:dyDescent="0.2">
      <c r="B52" s="40">
        <v>46094</v>
      </c>
      <c r="C52" s="17" t="s">
        <v>117</v>
      </c>
      <c r="D52" s="17" t="s">
        <v>223</v>
      </c>
      <c r="E52" s="17">
        <v>356651508</v>
      </c>
      <c r="F52" s="17" t="s">
        <v>41</v>
      </c>
      <c r="G52" s="17" t="s">
        <v>224</v>
      </c>
      <c r="H52" s="41" t="s">
        <v>225</v>
      </c>
      <c r="I52" s="17" t="s">
        <v>40</v>
      </c>
      <c r="J52" s="5"/>
      <c r="K52" s="5" t="s">
        <v>36</v>
      </c>
      <c r="L52" s="42" t="s">
        <v>226</v>
      </c>
      <c r="O52" s="5" t="s">
        <v>45</v>
      </c>
      <c r="P52" s="5" t="s">
        <v>65</v>
      </c>
      <c r="Q52" s="5" t="s">
        <v>28</v>
      </c>
    </row>
    <row r="53" spans="2:17" ht="63.75" x14ac:dyDescent="0.2">
      <c r="B53" s="40">
        <v>46095</v>
      </c>
      <c r="C53" s="17" t="s">
        <v>117</v>
      </c>
      <c r="D53" s="17" t="s">
        <v>227</v>
      </c>
      <c r="E53" s="17">
        <v>983996996</v>
      </c>
      <c r="F53" s="17" t="s">
        <v>41</v>
      </c>
      <c r="H53" s="41" t="s">
        <v>228</v>
      </c>
      <c r="I53" s="17" t="s">
        <v>40</v>
      </c>
      <c r="J53" s="5"/>
      <c r="K53" s="5" t="s">
        <v>36</v>
      </c>
      <c r="L53" s="42" t="s">
        <v>229</v>
      </c>
      <c r="M53" s="17" t="s">
        <v>230</v>
      </c>
      <c r="O53" s="5" t="s">
        <v>43</v>
      </c>
      <c r="P53" s="5" t="s">
        <v>22</v>
      </c>
      <c r="Q53" s="5" t="s">
        <v>28</v>
      </c>
    </row>
    <row r="54" spans="2:17" ht="89.25" x14ac:dyDescent="0.2">
      <c r="B54" s="40">
        <v>46096</v>
      </c>
      <c r="C54" s="17" t="s">
        <v>117</v>
      </c>
      <c r="D54" s="17" t="s">
        <v>231</v>
      </c>
      <c r="E54" s="17">
        <v>903435520</v>
      </c>
      <c r="F54" s="17" t="s">
        <v>38</v>
      </c>
      <c r="H54" s="41" t="s">
        <v>232</v>
      </c>
      <c r="I54" s="17" t="s">
        <v>40</v>
      </c>
      <c r="J54" s="5"/>
      <c r="K54" s="5" t="s">
        <v>36</v>
      </c>
      <c r="L54" s="42" t="s">
        <v>233</v>
      </c>
      <c r="M54" s="17" t="s">
        <v>234</v>
      </c>
      <c r="O54" s="5" t="s">
        <v>43</v>
      </c>
      <c r="P54" s="5" t="s">
        <v>24</v>
      </c>
      <c r="Q54" s="5" t="s">
        <v>20</v>
      </c>
    </row>
    <row r="55" spans="2:17" ht="89.25" x14ac:dyDescent="0.2">
      <c r="B55" s="40">
        <v>46097</v>
      </c>
      <c r="C55" s="17" t="s">
        <v>117</v>
      </c>
      <c r="D55" s="17" t="s">
        <v>235</v>
      </c>
      <c r="E55" s="17">
        <v>775570455</v>
      </c>
      <c r="F55" s="17" t="s">
        <v>47</v>
      </c>
      <c r="H55" s="41" t="s">
        <v>236</v>
      </c>
      <c r="I55" s="17" t="s">
        <v>40</v>
      </c>
      <c r="J55" s="5"/>
      <c r="K55" s="5" t="s">
        <v>36</v>
      </c>
      <c r="L55" s="42" t="s">
        <v>237</v>
      </c>
      <c r="O55" s="5" t="s">
        <v>45</v>
      </c>
      <c r="P55" s="5" t="s">
        <v>24</v>
      </c>
      <c r="Q55" s="5" t="s">
        <v>20</v>
      </c>
    </row>
    <row r="56" spans="2:17" ht="63.75" x14ac:dyDescent="0.2">
      <c r="B56" s="40">
        <v>46096</v>
      </c>
      <c r="C56" s="17" t="s">
        <v>117</v>
      </c>
      <c r="D56" s="17" t="s">
        <v>238</v>
      </c>
      <c r="E56" s="17">
        <v>904120063</v>
      </c>
      <c r="F56" s="17" t="s">
        <v>41</v>
      </c>
      <c r="G56" s="17" t="s">
        <v>239</v>
      </c>
      <c r="H56" s="41" t="s">
        <v>240</v>
      </c>
      <c r="I56" s="17" t="s">
        <v>40</v>
      </c>
      <c r="J56" s="5"/>
      <c r="K56" s="5" t="s">
        <v>36</v>
      </c>
      <c r="L56" s="42" t="s">
        <v>241</v>
      </c>
      <c r="O56" s="5"/>
      <c r="P56" s="5" t="s">
        <v>65</v>
      </c>
      <c r="Q56" s="5" t="s">
        <v>28</v>
      </c>
    </row>
    <row r="57" spans="2:17" ht="25.5" x14ac:dyDescent="0.2">
      <c r="B57" s="40">
        <v>46100</v>
      </c>
      <c r="C57" s="17" t="s">
        <v>96</v>
      </c>
      <c r="D57" s="17" t="s">
        <v>242</v>
      </c>
      <c r="E57" s="17">
        <v>903212899</v>
      </c>
      <c r="F57" s="17" t="s">
        <v>9</v>
      </c>
      <c r="G57" s="17" t="s">
        <v>243</v>
      </c>
      <c r="H57" s="41" t="s">
        <v>244</v>
      </c>
      <c r="I57" s="17" t="s">
        <v>40</v>
      </c>
      <c r="J57" s="5"/>
      <c r="K57" s="5" t="s">
        <v>36</v>
      </c>
      <c r="L57" s="42" t="s">
        <v>245</v>
      </c>
      <c r="M57" s="17" t="s">
        <v>246</v>
      </c>
      <c r="N57" s="17" t="s">
        <v>247</v>
      </c>
      <c r="O57" s="5" t="s">
        <v>43</v>
      </c>
      <c r="P57" s="5" t="s">
        <v>23</v>
      </c>
      <c r="Q57" s="5" t="s">
        <v>32</v>
      </c>
    </row>
    <row r="58" spans="2:17" ht="38.25" x14ac:dyDescent="0.2">
      <c r="B58" s="40">
        <v>46104</v>
      </c>
      <c r="C58" s="17" t="s">
        <v>96</v>
      </c>
      <c r="D58" s="17" t="s">
        <v>248</v>
      </c>
      <c r="E58" s="17">
        <v>366203737</v>
      </c>
      <c r="F58" s="17" t="s">
        <v>41</v>
      </c>
      <c r="G58" s="17" t="s">
        <v>249</v>
      </c>
      <c r="H58" s="41" t="s">
        <v>250</v>
      </c>
      <c r="I58" s="17" t="s">
        <v>40</v>
      </c>
      <c r="J58" s="5"/>
      <c r="K58" s="5" t="s">
        <v>36</v>
      </c>
      <c r="L58" s="42" t="s">
        <v>251</v>
      </c>
      <c r="M58" s="17" t="s">
        <v>252</v>
      </c>
      <c r="O58" s="5" t="s">
        <v>45</v>
      </c>
      <c r="P58" s="5" t="s">
        <v>23</v>
      </c>
      <c r="Q58" s="5" t="s">
        <v>20</v>
      </c>
    </row>
    <row r="59" spans="2:17" ht="51" x14ac:dyDescent="0.2">
      <c r="B59" s="40">
        <v>46104</v>
      </c>
      <c r="C59" s="17" t="s">
        <v>96</v>
      </c>
      <c r="D59" s="17" t="s">
        <v>253</v>
      </c>
      <c r="E59" s="17">
        <v>979673095</v>
      </c>
      <c r="F59" s="17" t="s">
        <v>47</v>
      </c>
      <c r="G59" s="17" t="s">
        <v>254</v>
      </c>
      <c r="H59" s="41" t="s">
        <v>255</v>
      </c>
      <c r="I59" s="17" t="s">
        <v>40</v>
      </c>
      <c r="J59" s="5"/>
      <c r="K59" s="5" t="s">
        <v>36</v>
      </c>
      <c r="L59" s="42" t="s">
        <v>256</v>
      </c>
      <c r="O59" s="5" t="s">
        <v>45</v>
      </c>
      <c r="P59" s="5" t="s">
        <v>23</v>
      </c>
      <c r="Q59" s="5"/>
    </row>
    <row r="60" spans="2:17" ht="38.25" x14ac:dyDescent="0.2">
      <c r="B60" s="40">
        <v>46108</v>
      </c>
      <c r="C60" s="17" t="s">
        <v>257</v>
      </c>
      <c r="D60" s="17" t="s">
        <v>258</v>
      </c>
      <c r="E60" s="17">
        <v>987993999</v>
      </c>
      <c r="G60" s="17" t="s">
        <v>259</v>
      </c>
      <c r="I60" s="17" t="s">
        <v>40</v>
      </c>
      <c r="J60" s="5"/>
      <c r="K60" s="5" t="s">
        <v>36</v>
      </c>
      <c r="L60" s="42" t="s">
        <v>260</v>
      </c>
      <c r="O60" s="5"/>
      <c r="P60" s="5" t="s">
        <v>24</v>
      </c>
      <c r="Q60" s="5"/>
    </row>
    <row r="61" spans="2:17" ht="25.5" x14ac:dyDescent="0.2">
      <c r="B61" s="40">
        <v>46113</v>
      </c>
      <c r="C61" s="17" t="s">
        <v>96</v>
      </c>
      <c r="D61" s="17" t="s">
        <v>261</v>
      </c>
      <c r="E61" s="17">
        <v>913506786</v>
      </c>
      <c r="F61" s="17" t="s">
        <v>9</v>
      </c>
      <c r="G61" s="17" t="s">
        <v>262</v>
      </c>
      <c r="H61" s="41" t="s">
        <v>263</v>
      </c>
      <c r="I61" s="17" t="s">
        <v>40</v>
      </c>
      <c r="J61" s="5"/>
      <c r="K61" s="5" t="s">
        <v>36</v>
      </c>
      <c r="L61" s="42" t="s">
        <v>264</v>
      </c>
      <c r="O61" s="5" t="s">
        <v>43</v>
      </c>
      <c r="P61" s="5" t="s">
        <v>23</v>
      </c>
      <c r="Q61" s="5" t="s">
        <v>30</v>
      </c>
    </row>
    <row r="62" spans="2:17" ht="12.75" x14ac:dyDescent="0.2">
      <c r="B62" s="44">
        <v>46057</v>
      </c>
      <c r="D62" s="17" t="s">
        <v>265</v>
      </c>
      <c r="E62" s="17">
        <v>936491555</v>
      </c>
      <c r="G62" s="17" t="s">
        <v>266</v>
      </c>
      <c r="J62" s="5"/>
      <c r="K62" s="5"/>
      <c r="L62" s="5"/>
      <c r="O62" s="5"/>
      <c r="P62" s="5"/>
      <c r="Q62" s="5"/>
    </row>
    <row r="63" spans="2:17" ht="89.25" x14ac:dyDescent="0.2">
      <c r="B63" s="45">
        <v>46167</v>
      </c>
      <c r="C63" s="17" t="s">
        <v>117</v>
      </c>
      <c r="D63" s="17" t="s">
        <v>267</v>
      </c>
      <c r="E63" s="17">
        <v>968485135</v>
      </c>
      <c r="F63" s="17" t="s">
        <v>268</v>
      </c>
      <c r="H63" s="41" t="s">
        <v>269</v>
      </c>
      <c r="I63" s="17" t="s">
        <v>40</v>
      </c>
      <c r="J63" s="5"/>
      <c r="K63" s="5" t="s">
        <v>36</v>
      </c>
      <c r="L63" s="42" t="s">
        <v>270</v>
      </c>
      <c r="O63" s="5" t="s">
        <v>45</v>
      </c>
      <c r="P63" s="5" t="s">
        <v>23</v>
      </c>
      <c r="Q63" s="5" t="s">
        <v>20</v>
      </c>
    </row>
    <row r="64" spans="2:17" ht="102" x14ac:dyDescent="0.2">
      <c r="B64" s="45">
        <v>46166</v>
      </c>
      <c r="C64" s="17" t="s">
        <v>117</v>
      </c>
      <c r="D64" s="17" t="s">
        <v>271</v>
      </c>
      <c r="E64" s="17">
        <v>936986899</v>
      </c>
      <c r="F64" s="17" t="s">
        <v>272</v>
      </c>
      <c r="G64" s="17" t="s">
        <v>273</v>
      </c>
      <c r="H64" s="41" t="s">
        <v>274</v>
      </c>
      <c r="I64" s="17" t="s">
        <v>40</v>
      </c>
      <c r="J64" s="5"/>
      <c r="K64" s="5" t="s">
        <v>36</v>
      </c>
      <c r="L64" s="42" t="s">
        <v>275</v>
      </c>
      <c r="O64" s="5" t="s">
        <v>45</v>
      </c>
      <c r="P64" s="5" t="s">
        <v>23</v>
      </c>
      <c r="Q64" s="5" t="s">
        <v>20</v>
      </c>
    </row>
    <row r="65" spans="2:17" ht="63.75" x14ac:dyDescent="0.2">
      <c r="B65" s="45">
        <v>46162</v>
      </c>
      <c r="C65" s="17" t="s">
        <v>117</v>
      </c>
      <c r="D65" s="17" t="s">
        <v>276</v>
      </c>
      <c r="E65" s="17">
        <v>906132380</v>
      </c>
      <c r="F65" s="17" t="s">
        <v>272</v>
      </c>
      <c r="H65" s="41" t="s">
        <v>277</v>
      </c>
      <c r="I65" s="17" t="s">
        <v>40</v>
      </c>
      <c r="J65" s="5"/>
      <c r="K65" s="5" t="s">
        <v>36</v>
      </c>
      <c r="L65" s="42" t="s">
        <v>278</v>
      </c>
      <c r="M65" s="17" t="s">
        <v>279</v>
      </c>
      <c r="O65" s="5" t="s">
        <v>43</v>
      </c>
      <c r="P65" s="5" t="s">
        <v>21</v>
      </c>
      <c r="Q65" s="5" t="s">
        <v>32</v>
      </c>
    </row>
    <row r="66" spans="2:17" ht="63.75" x14ac:dyDescent="0.2">
      <c r="B66" s="45">
        <v>46161</v>
      </c>
      <c r="C66" s="17" t="s">
        <v>117</v>
      </c>
      <c r="D66" s="17" t="s">
        <v>280</v>
      </c>
      <c r="E66" s="17">
        <v>975372860</v>
      </c>
      <c r="F66" s="17" t="s">
        <v>281</v>
      </c>
      <c r="H66" s="41" t="s">
        <v>282</v>
      </c>
      <c r="I66" s="17" t="s">
        <v>40</v>
      </c>
      <c r="J66" s="5"/>
      <c r="K66" s="5" t="s">
        <v>36</v>
      </c>
      <c r="L66" s="42" t="s">
        <v>283</v>
      </c>
      <c r="M66" s="17" t="s">
        <v>284</v>
      </c>
      <c r="O66" s="5" t="s">
        <v>43</v>
      </c>
      <c r="P66" s="5" t="s">
        <v>23</v>
      </c>
      <c r="Q66" s="5" t="s">
        <v>20</v>
      </c>
    </row>
    <row r="67" spans="2:17" ht="89.25" x14ac:dyDescent="0.2">
      <c r="B67" s="45">
        <v>46137</v>
      </c>
      <c r="C67" s="17" t="s">
        <v>117</v>
      </c>
      <c r="D67" s="17" t="s">
        <v>285</v>
      </c>
      <c r="E67" s="17">
        <v>968990088</v>
      </c>
      <c r="F67" s="17" t="s">
        <v>268</v>
      </c>
      <c r="G67" s="17" t="s">
        <v>286</v>
      </c>
      <c r="H67" s="41" t="s">
        <v>287</v>
      </c>
      <c r="I67" s="17" t="s">
        <v>40</v>
      </c>
      <c r="J67" s="5"/>
      <c r="K67" s="5" t="s">
        <v>36</v>
      </c>
      <c r="L67" s="42" t="s">
        <v>288</v>
      </c>
      <c r="M67" s="17" t="s">
        <v>289</v>
      </c>
      <c r="N67" s="17" t="s">
        <v>290</v>
      </c>
      <c r="O67" s="5" t="s">
        <v>43</v>
      </c>
      <c r="P67" s="5" t="s">
        <v>23</v>
      </c>
      <c r="Q67" s="5" t="s">
        <v>20</v>
      </c>
    </row>
    <row r="68" spans="2:17" ht="102" x14ac:dyDescent="0.2">
      <c r="B68" s="45">
        <v>46138</v>
      </c>
      <c r="C68" s="17" t="s">
        <v>117</v>
      </c>
      <c r="D68" s="17" t="s">
        <v>291</v>
      </c>
      <c r="E68" s="17">
        <v>904254491</v>
      </c>
      <c r="F68" s="17" t="s">
        <v>292</v>
      </c>
      <c r="H68" s="41" t="s">
        <v>293</v>
      </c>
      <c r="I68" s="17" t="s">
        <v>40</v>
      </c>
      <c r="J68" s="5"/>
      <c r="K68" s="5" t="s">
        <v>36</v>
      </c>
      <c r="L68" s="42" t="s">
        <v>294</v>
      </c>
      <c r="O68" s="5" t="s">
        <v>43</v>
      </c>
      <c r="P68" s="5" t="s">
        <v>21</v>
      </c>
      <c r="Q68" s="5" t="s">
        <v>20</v>
      </c>
    </row>
    <row r="69" spans="2:17" ht="178.5" x14ac:dyDescent="0.2">
      <c r="B69" s="17" t="s">
        <v>295</v>
      </c>
      <c r="C69" s="17" t="s">
        <v>296</v>
      </c>
      <c r="D69" s="17" t="s">
        <v>297</v>
      </c>
      <c r="E69" s="17" t="s">
        <v>298</v>
      </c>
      <c r="G69" s="46" t="s">
        <v>299</v>
      </c>
      <c r="J69" s="5"/>
      <c r="K69" s="5" t="s">
        <v>36</v>
      </c>
      <c r="L69" s="42" t="s">
        <v>300</v>
      </c>
      <c r="O69" s="5"/>
      <c r="P69" s="5"/>
      <c r="Q69" s="5" t="s">
        <v>32</v>
      </c>
    </row>
    <row r="70" spans="2:17" ht="12.75" x14ac:dyDescent="0.2">
      <c r="J70" s="5"/>
      <c r="K70" s="5"/>
      <c r="O70" s="5"/>
      <c r="P70" s="5"/>
      <c r="Q70" s="5"/>
    </row>
    <row r="71" spans="2:17" ht="12.75" x14ac:dyDescent="0.2">
      <c r="J71" s="5"/>
      <c r="K71" s="5"/>
      <c r="O71" s="5"/>
      <c r="P71" s="5"/>
      <c r="Q71" s="5"/>
    </row>
    <row r="72" spans="2:17" ht="12.75" x14ac:dyDescent="0.2">
      <c r="J72" s="5"/>
      <c r="K72" s="5"/>
      <c r="O72" s="5"/>
      <c r="P72" s="5"/>
      <c r="Q72" s="5"/>
    </row>
    <row r="73" spans="2:17" ht="12.75" x14ac:dyDescent="0.2">
      <c r="J73" s="5"/>
      <c r="K73" s="5"/>
      <c r="O73" s="5"/>
      <c r="P73" s="5"/>
      <c r="Q73" s="5"/>
    </row>
    <row r="74" spans="2:17" ht="12.75" x14ac:dyDescent="0.2">
      <c r="J74" s="5"/>
      <c r="K74" s="5"/>
      <c r="O74" s="5"/>
      <c r="P74" s="5"/>
      <c r="Q74" s="5"/>
    </row>
    <row r="75" spans="2:17" ht="12.75" x14ac:dyDescent="0.2">
      <c r="J75" s="5"/>
      <c r="K75" s="5"/>
      <c r="O75" s="5"/>
      <c r="P75" s="5"/>
      <c r="Q75" s="5"/>
    </row>
    <row r="76" spans="2:17" ht="12.75" x14ac:dyDescent="0.2">
      <c r="J76" s="5"/>
      <c r="K76" s="5"/>
      <c r="O76" s="5"/>
      <c r="P76" s="5"/>
      <c r="Q76" s="5"/>
    </row>
    <row r="77" spans="2:17" ht="12.75" x14ac:dyDescent="0.2">
      <c r="J77" s="5"/>
      <c r="K77" s="5"/>
      <c r="O77" s="5"/>
      <c r="P77" s="5"/>
      <c r="Q77" s="5"/>
    </row>
    <row r="78" spans="2:17" ht="12.75" x14ac:dyDescent="0.2">
      <c r="J78" s="5"/>
      <c r="K78" s="5"/>
      <c r="O78" s="5"/>
      <c r="P78" s="5"/>
      <c r="Q78" s="5"/>
    </row>
    <row r="79" spans="2:17" ht="12.75" x14ac:dyDescent="0.2">
      <c r="J79" s="5"/>
      <c r="K79" s="5"/>
      <c r="O79" s="5"/>
      <c r="P79" s="5"/>
      <c r="Q79" s="5"/>
    </row>
    <row r="80" spans="2:17" ht="12.75" x14ac:dyDescent="0.2">
      <c r="J80" s="5"/>
      <c r="K80" s="5"/>
      <c r="O80" s="5"/>
      <c r="P80" s="5"/>
      <c r="Q80" s="5"/>
    </row>
    <row r="81" spans="10:17" ht="12.75" x14ac:dyDescent="0.2">
      <c r="J81" s="5"/>
      <c r="K81" s="5"/>
      <c r="O81" s="5"/>
      <c r="P81" s="5"/>
      <c r="Q81" s="5"/>
    </row>
    <row r="82" spans="10:17" ht="12.75" x14ac:dyDescent="0.2">
      <c r="J82" s="5"/>
      <c r="K82" s="5"/>
      <c r="O82" s="5"/>
      <c r="P82" s="5"/>
      <c r="Q82" s="5"/>
    </row>
    <row r="83" spans="10:17" ht="12.75" x14ac:dyDescent="0.2">
      <c r="J83" s="5"/>
      <c r="K83" s="5"/>
      <c r="O83" s="5"/>
      <c r="P83" s="5"/>
      <c r="Q83" s="5"/>
    </row>
    <row r="84" spans="10:17" ht="12.75" x14ac:dyDescent="0.2">
      <c r="J84" s="5"/>
      <c r="K84" s="5"/>
      <c r="O84" s="5"/>
      <c r="P84" s="5"/>
      <c r="Q84" s="5"/>
    </row>
    <row r="85" spans="10:17" ht="12.75" x14ac:dyDescent="0.2">
      <c r="J85" s="5"/>
      <c r="K85" s="5"/>
      <c r="O85" s="5"/>
      <c r="P85" s="5"/>
      <c r="Q85" s="5"/>
    </row>
    <row r="86" spans="10:17" ht="12.75" x14ac:dyDescent="0.2">
      <c r="J86" s="5"/>
      <c r="K86" s="5"/>
      <c r="O86" s="5"/>
      <c r="P86" s="5"/>
      <c r="Q86" s="5"/>
    </row>
    <row r="87" spans="10:17" ht="12.75" x14ac:dyDescent="0.2">
      <c r="J87" s="5"/>
      <c r="K87" s="5"/>
      <c r="O87" s="5"/>
      <c r="P87" s="5"/>
      <c r="Q87" s="5"/>
    </row>
    <row r="88" spans="10:17" ht="12.75" x14ac:dyDescent="0.2">
      <c r="J88" s="5"/>
      <c r="K88" s="5"/>
      <c r="O88" s="5"/>
      <c r="P88" s="5"/>
      <c r="Q88" s="5"/>
    </row>
    <row r="89" spans="10:17" ht="12.75" x14ac:dyDescent="0.2">
      <c r="J89" s="5"/>
      <c r="K89" s="5"/>
      <c r="O89" s="5"/>
      <c r="P89" s="5"/>
      <c r="Q89" s="5"/>
    </row>
    <row r="90" spans="10:17" ht="12.75" x14ac:dyDescent="0.2">
      <c r="J90" s="5"/>
      <c r="K90" s="5"/>
      <c r="O90" s="5"/>
      <c r="P90" s="5"/>
      <c r="Q90" s="5"/>
    </row>
    <row r="91" spans="10:17" ht="12.75" x14ac:dyDescent="0.2">
      <c r="J91" s="5"/>
      <c r="K91" s="5"/>
      <c r="O91" s="5"/>
      <c r="P91" s="5"/>
      <c r="Q91" s="5"/>
    </row>
    <row r="92" spans="10:17" ht="12.75" x14ac:dyDescent="0.2">
      <c r="J92" s="5"/>
      <c r="K92" s="5"/>
      <c r="O92" s="5"/>
      <c r="P92" s="5"/>
      <c r="Q92" s="5"/>
    </row>
    <row r="93" spans="10:17" ht="12.75" x14ac:dyDescent="0.2">
      <c r="J93" s="5"/>
      <c r="K93" s="5"/>
      <c r="O93" s="5"/>
      <c r="P93" s="5"/>
      <c r="Q93" s="5"/>
    </row>
    <row r="94" spans="10:17" ht="12.75" x14ac:dyDescent="0.2">
      <c r="J94" s="5"/>
      <c r="K94" s="5"/>
      <c r="O94" s="5"/>
      <c r="P94" s="5"/>
      <c r="Q94" s="5"/>
    </row>
    <row r="95" spans="10:17" ht="12.75" x14ac:dyDescent="0.2">
      <c r="J95" s="5"/>
      <c r="K95" s="5"/>
      <c r="O95" s="5"/>
      <c r="P95" s="5"/>
      <c r="Q95" s="5"/>
    </row>
    <row r="96" spans="10:17" ht="12.75" x14ac:dyDescent="0.2">
      <c r="J96" s="5"/>
      <c r="K96" s="5"/>
      <c r="O96" s="5"/>
      <c r="P96" s="5"/>
      <c r="Q96" s="5"/>
    </row>
    <row r="97" spans="10:17" ht="12.75" x14ac:dyDescent="0.2">
      <c r="J97" s="5"/>
      <c r="K97" s="5"/>
      <c r="O97" s="5"/>
      <c r="P97" s="5"/>
      <c r="Q97" s="5"/>
    </row>
    <row r="98" spans="10:17" ht="12.75" x14ac:dyDescent="0.2">
      <c r="J98" s="5"/>
      <c r="K98" s="5"/>
      <c r="O98" s="5"/>
      <c r="P98" s="5"/>
      <c r="Q98" s="5"/>
    </row>
    <row r="99" spans="10:17" ht="12.75" x14ac:dyDescent="0.2">
      <c r="J99" s="5"/>
      <c r="K99" s="5"/>
      <c r="O99" s="5"/>
      <c r="P99" s="5"/>
      <c r="Q99" s="5"/>
    </row>
    <row r="100" spans="10:17" ht="12.75" x14ac:dyDescent="0.2">
      <c r="J100" s="5"/>
      <c r="K100" s="5"/>
      <c r="O100" s="5"/>
      <c r="P100" s="5"/>
      <c r="Q100" s="5"/>
    </row>
    <row r="101" spans="10:17" ht="12.75" x14ac:dyDescent="0.2">
      <c r="J101" s="5"/>
      <c r="K101" s="5"/>
      <c r="O101" s="5"/>
      <c r="P101" s="5"/>
      <c r="Q101" s="5"/>
    </row>
    <row r="102" spans="10:17" ht="12.75" x14ac:dyDescent="0.2">
      <c r="J102" s="5"/>
      <c r="K102" s="5"/>
      <c r="O102" s="5"/>
      <c r="P102" s="5"/>
      <c r="Q102" s="5"/>
    </row>
    <row r="103" spans="10:17" ht="12.75" x14ac:dyDescent="0.2">
      <c r="J103" s="5"/>
      <c r="K103" s="5"/>
      <c r="O103" s="5"/>
      <c r="P103" s="5"/>
      <c r="Q103" s="5"/>
    </row>
    <row r="104" spans="10:17" ht="12.75" x14ac:dyDescent="0.2">
      <c r="J104" s="5"/>
      <c r="K104" s="5"/>
      <c r="O104" s="5"/>
      <c r="P104" s="5"/>
      <c r="Q104" s="5"/>
    </row>
    <row r="105" spans="10:17" ht="12.75" x14ac:dyDescent="0.2">
      <c r="J105" s="5"/>
      <c r="K105" s="5"/>
      <c r="O105" s="5"/>
      <c r="P105" s="5"/>
      <c r="Q105" s="5"/>
    </row>
    <row r="106" spans="10:17" ht="12.75" x14ac:dyDescent="0.2">
      <c r="J106" s="5"/>
      <c r="K106" s="5"/>
      <c r="O106" s="5"/>
      <c r="P106" s="5"/>
      <c r="Q106" s="5"/>
    </row>
    <row r="107" spans="10:17" ht="12.75" x14ac:dyDescent="0.2">
      <c r="J107" s="5"/>
      <c r="K107" s="5"/>
      <c r="O107" s="5"/>
      <c r="P107" s="5"/>
      <c r="Q107" s="5"/>
    </row>
    <row r="108" spans="10:17" ht="12.75" x14ac:dyDescent="0.2">
      <c r="J108" s="5"/>
      <c r="K108" s="5"/>
      <c r="O108" s="5"/>
      <c r="P108" s="5"/>
      <c r="Q108" s="5"/>
    </row>
    <row r="109" spans="10:17" ht="12.75" x14ac:dyDescent="0.2">
      <c r="J109" s="5"/>
      <c r="K109" s="5"/>
      <c r="O109" s="5"/>
      <c r="P109" s="5"/>
      <c r="Q109" s="5"/>
    </row>
    <row r="110" spans="10:17" ht="12.75" x14ac:dyDescent="0.2">
      <c r="J110" s="5"/>
      <c r="K110" s="5"/>
      <c r="O110" s="5"/>
      <c r="P110" s="5"/>
      <c r="Q110" s="5"/>
    </row>
    <row r="111" spans="10:17" ht="12.75" x14ac:dyDescent="0.2">
      <c r="J111" s="5"/>
      <c r="K111" s="5"/>
      <c r="O111" s="5"/>
      <c r="P111" s="5"/>
      <c r="Q111" s="5"/>
    </row>
    <row r="112" spans="10:17" ht="12.75" x14ac:dyDescent="0.2">
      <c r="J112" s="5"/>
      <c r="K112" s="5"/>
      <c r="O112" s="5"/>
      <c r="P112" s="5"/>
      <c r="Q112" s="5"/>
    </row>
    <row r="113" spans="10:17" ht="12.75" x14ac:dyDescent="0.2">
      <c r="J113" s="5"/>
      <c r="K113" s="5"/>
      <c r="O113" s="5"/>
      <c r="P113" s="5"/>
      <c r="Q113" s="5"/>
    </row>
    <row r="114" spans="10:17" ht="12.75" x14ac:dyDescent="0.2">
      <c r="J114" s="5"/>
      <c r="K114" s="5"/>
      <c r="O114" s="5"/>
      <c r="P114" s="5"/>
      <c r="Q114" s="5"/>
    </row>
    <row r="115" spans="10:17" ht="12.75" x14ac:dyDescent="0.2">
      <c r="J115" s="5"/>
      <c r="K115" s="5"/>
      <c r="O115" s="5"/>
      <c r="P115" s="5"/>
      <c r="Q115" s="5"/>
    </row>
    <row r="116" spans="10:17" ht="12.75" x14ac:dyDescent="0.2">
      <c r="J116" s="5"/>
      <c r="K116" s="5"/>
      <c r="O116" s="5"/>
      <c r="P116" s="5"/>
      <c r="Q116" s="5"/>
    </row>
    <row r="117" spans="10:17" ht="12.75" x14ac:dyDescent="0.2">
      <c r="J117" s="5"/>
      <c r="K117" s="5"/>
      <c r="O117" s="5"/>
      <c r="P117" s="5"/>
      <c r="Q117" s="5"/>
    </row>
    <row r="118" spans="10:17" ht="12.75" x14ac:dyDescent="0.2">
      <c r="J118" s="5"/>
      <c r="K118" s="5"/>
      <c r="O118" s="5"/>
      <c r="P118" s="5"/>
      <c r="Q118" s="5"/>
    </row>
    <row r="119" spans="10:17" ht="12.75" x14ac:dyDescent="0.2">
      <c r="J119" s="5"/>
      <c r="K119" s="5"/>
      <c r="O119" s="5"/>
      <c r="P119" s="5"/>
      <c r="Q119" s="5"/>
    </row>
    <row r="120" spans="10:17" ht="12.75" x14ac:dyDescent="0.2">
      <c r="J120" s="5"/>
      <c r="K120" s="5"/>
      <c r="O120" s="5"/>
      <c r="P120" s="5"/>
      <c r="Q120" s="5"/>
    </row>
    <row r="121" spans="10:17" ht="12.75" x14ac:dyDescent="0.2">
      <c r="J121" s="5"/>
      <c r="K121" s="5"/>
      <c r="O121" s="5"/>
      <c r="P121" s="5"/>
      <c r="Q121" s="5"/>
    </row>
    <row r="122" spans="10:17" ht="12.75" x14ac:dyDescent="0.2">
      <c r="J122" s="5"/>
      <c r="K122" s="5"/>
      <c r="O122" s="5"/>
      <c r="P122" s="5"/>
      <c r="Q122" s="5"/>
    </row>
    <row r="123" spans="10:17" ht="12.75" x14ac:dyDescent="0.2">
      <c r="J123" s="5"/>
      <c r="K123" s="5"/>
      <c r="O123" s="5"/>
      <c r="P123" s="5"/>
      <c r="Q123" s="5"/>
    </row>
    <row r="124" spans="10:17" ht="12.75" x14ac:dyDescent="0.2">
      <c r="J124" s="5"/>
      <c r="K124" s="5"/>
      <c r="O124" s="5"/>
      <c r="P124" s="5"/>
      <c r="Q124" s="5"/>
    </row>
    <row r="125" spans="10:17" ht="12.75" x14ac:dyDescent="0.2">
      <c r="J125" s="5"/>
      <c r="K125" s="5"/>
      <c r="O125" s="5"/>
      <c r="P125" s="5"/>
      <c r="Q125" s="5"/>
    </row>
    <row r="126" spans="10:17" ht="12.75" x14ac:dyDescent="0.2">
      <c r="J126" s="5"/>
      <c r="K126" s="5"/>
      <c r="O126" s="5"/>
      <c r="P126" s="5"/>
      <c r="Q126" s="5"/>
    </row>
    <row r="127" spans="10:17" ht="12.75" x14ac:dyDescent="0.2">
      <c r="J127" s="5"/>
      <c r="K127" s="5"/>
      <c r="O127" s="5"/>
      <c r="P127" s="5"/>
      <c r="Q127" s="5"/>
    </row>
    <row r="128" spans="10:17" ht="12.75" x14ac:dyDescent="0.2">
      <c r="J128" s="5"/>
      <c r="K128" s="5"/>
      <c r="O128" s="5"/>
      <c r="P128" s="5"/>
      <c r="Q128" s="5"/>
    </row>
    <row r="129" spans="10:17" ht="12.75" x14ac:dyDescent="0.2">
      <c r="J129" s="5"/>
      <c r="K129" s="5"/>
      <c r="O129" s="5"/>
      <c r="P129" s="5"/>
      <c r="Q129" s="5"/>
    </row>
    <row r="130" spans="10:17" ht="12.75" x14ac:dyDescent="0.2">
      <c r="J130" s="5"/>
      <c r="K130" s="5"/>
      <c r="O130" s="5"/>
      <c r="P130" s="5"/>
      <c r="Q130" s="5"/>
    </row>
    <row r="131" spans="10:17" ht="12.75" x14ac:dyDescent="0.2">
      <c r="J131" s="5"/>
      <c r="K131" s="5"/>
      <c r="O131" s="5"/>
      <c r="P131" s="5"/>
      <c r="Q131" s="5"/>
    </row>
    <row r="132" spans="10:17" ht="12.75" x14ac:dyDescent="0.2">
      <c r="J132" s="5"/>
      <c r="K132" s="5"/>
      <c r="O132" s="5"/>
      <c r="P132" s="5"/>
      <c r="Q132" s="5"/>
    </row>
    <row r="133" spans="10:17" ht="12.75" x14ac:dyDescent="0.2">
      <c r="J133" s="5"/>
      <c r="K133" s="5"/>
      <c r="O133" s="5"/>
      <c r="P133" s="5"/>
      <c r="Q133" s="5"/>
    </row>
    <row r="134" spans="10:17" ht="12.75" x14ac:dyDescent="0.2">
      <c r="J134" s="5"/>
      <c r="K134" s="5"/>
      <c r="O134" s="5"/>
      <c r="P134" s="5"/>
      <c r="Q134" s="5"/>
    </row>
    <row r="135" spans="10:17" ht="12.75" x14ac:dyDescent="0.2">
      <c r="J135" s="5"/>
      <c r="K135" s="5"/>
      <c r="O135" s="5"/>
      <c r="P135" s="5"/>
      <c r="Q135" s="5"/>
    </row>
    <row r="136" spans="10:17" ht="12.75" x14ac:dyDescent="0.2">
      <c r="J136" s="5"/>
      <c r="K136" s="5"/>
      <c r="O136" s="5"/>
      <c r="P136" s="5"/>
      <c r="Q136" s="5"/>
    </row>
    <row r="137" spans="10:17" ht="12.75" x14ac:dyDescent="0.2">
      <c r="J137" s="5"/>
      <c r="K137" s="5"/>
      <c r="O137" s="5"/>
      <c r="P137" s="5"/>
      <c r="Q137" s="5"/>
    </row>
    <row r="138" spans="10:17" ht="12.75" x14ac:dyDescent="0.2">
      <c r="J138" s="5"/>
      <c r="K138" s="5"/>
      <c r="O138" s="5"/>
      <c r="P138" s="5"/>
      <c r="Q138" s="5"/>
    </row>
    <row r="139" spans="10:17" ht="12.75" x14ac:dyDescent="0.2">
      <c r="J139" s="5"/>
      <c r="K139" s="5"/>
      <c r="O139" s="5"/>
      <c r="P139" s="5"/>
      <c r="Q139" s="5"/>
    </row>
    <row r="140" spans="10:17" ht="12.75" x14ac:dyDescent="0.2">
      <c r="J140" s="5"/>
      <c r="K140" s="5"/>
      <c r="O140" s="5"/>
      <c r="P140" s="5"/>
      <c r="Q140" s="5"/>
    </row>
    <row r="141" spans="10:17" ht="12.75" x14ac:dyDescent="0.2">
      <c r="J141" s="5"/>
      <c r="K141" s="5"/>
      <c r="O141" s="5"/>
      <c r="P141" s="5"/>
      <c r="Q141" s="5"/>
    </row>
    <row r="142" spans="10:17" ht="12.75" x14ac:dyDescent="0.2">
      <c r="J142" s="5"/>
      <c r="K142" s="5"/>
      <c r="O142" s="5"/>
      <c r="P142" s="5"/>
      <c r="Q142" s="5"/>
    </row>
    <row r="143" spans="10:17" ht="12.75" x14ac:dyDescent="0.2">
      <c r="J143" s="5"/>
      <c r="K143" s="5"/>
      <c r="O143" s="5"/>
      <c r="P143" s="5"/>
      <c r="Q143" s="5"/>
    </row>
    <row r="144" spans="10:17" ht="12.75" x14ac:dyDescent="0.2">
      <c r="J144" s="5"/>
      <c r="K144" s="5"/>
      <c r="O144" s="5"/>
      <c r="P144" s="5"/>
      <c r="Q144" s="5"/>
    </row>
    <row r="145" spans="10:17" ht="12.75" x14ac:dyDescent="0.2">
      <c r="J145" s="5"/>
      <c r="K145" s="5"/>
      <c r="O145" s="5"/>
      <c r="P145" s="5"/>
      <c r="Q145" s="5"/>
    </row>
    <row r="146" spans="10:17" ht="12.75" x14ac:dyDescent="0.2">
      <c r="J146" s="5"/>
      <c r="K146" s="5"/>
      <c r="O146" s="5"/>
      <c r="P146" s="5"/>
      <c r="Q146" s="5"/>
    </row>
    <row r="147" spans="10:17" ht="12.75" x14ac:dyDescent="0.2">
      <c r="J147" s="5"/>
      <c r="K147" s="5"/>
      <c r="O147" s="5"/>
      <c r="P147" s="5"/>
      <c r="Q147" s="5"/>
    </row>
    <row r="148" spans="10:17" ht="12.75" x14ac:dyDescent="0.2">
      <c r="J148" s="5"/>
      <c r="K148" s="5"/>
      <c r="O148" s="5"/>
      <c r="P148" s="5"/>
      <c r="Q148" s="5"/>
    </row>
    <row r="149" spans="10:17" ht="12.75" x14ac:dyDescent="0.2">
      <c r="J149" s="5"/>
      <c r="K149" s="5"/>
      <c r="O149" s="5"/>
      <c r="P149" s="5"/>
      <c r="Q149" s="5"/>
    </row>
    <row r="150" spans="10:17" ht="12.75" x14ac:dyDescent="0.2">
      <c r="J150" s="5"/>
      <c r="K150" s="5"/>
      <c r="O150" s="5"/>
      <c r="P150" s="5"/>
      <c r="Q150" s="5"/>
    </row>
    <row r="151" spans="10:17" ht="12.75" x14ac:dyDescent="0.2">
      <c r="J151" s="5"/>
      <c r="K151" s="5"/>
      <c r="O151" s="5"/>
      <c r="P151" s="5"/>
      <c r="Q151" s="5"/>
    </row>
    <row r="152" spans="10:17" ht="12.75" x14ac:dyDescent="0.2">
      <c r="J152" s="5"/>
      <c r="K152" s="5"/>
      <c r="O152" s="5"/>
      <c r="P152" s="5"/>
      <c r="Q152" s="5"/>
    </row>
    <row r="153" spans="10:17" ht="12.75" x14ac:dyDescent="0.2">
      <c r="J153" s="5"/>
      <c r="K153" s="5"/>
      <c r="O153" s="5"/>
      <c r="P153" s="5"/>
      <c r="Q153" s="5"/>
    </row>
    <row r="154" spans="10:17" ht="12.75" x14ac:dyDescent="0.2">
      <c r="J154" s="5"/>
      <c r="K154" s="5"/>
      <c r="O154" s="5"/>
      <c r="P154" s="5"/>
      <c r="Q154" s="5"/>
    </row>
    <row r="155" spans="10:17" ht="12.75" x14ac:dyDescent="0.2">
      <c r="J155" s="5"/>
      <c r="K155" s="5"/>
      <c r="O155" s="5"/>
      <c r="P155" s="5"/>
      <c r="Q155" s="5"/>
    </row>
    <row r="156" spans="10:17" ht="12.75" x14ac:dyDescent="0.2">
      <c r="J156" s="5"/>
      <c r="K156" s="5"/>
      <c r="O156" s="5"/>
      <c r="P156" s="5"/>
      <c r="Q156" s="5"/>
    </row>
    <row r="157" spans="10:17" ht="12.75" x14ac:dyDescent="0.2">
      <c r="J157" s="5"/>
      <c r="K157" s="5"/>
      <c r="O157" s="5"/>
      <c r="P157" s="5"/>
      <c r="Q157" s="5"/>
    </row>
    <row r="158" spans="10:17" ht="12.75" x14ac:dyDescent="0.2">
      <c r="J158" s="5"/>
      <c r="K158" s="5"/>
      <c r="O158" s="5"/>
      <c r="P158" s="5"/>
      <c r="Q158" s="5"/>
    </row>
    <row r="159" spans="10:17" ht="12.75" x14ac:dyDescent="0.2">
      <c r="J159" s="5"/>
      <c r="K159" s="5"/>
      <c r="O159" s="5"/>
      <c r="P159" s="5"/>
      <c r="Q159" s="5"/>
    </row>
    <row r="160" spans="10:17" ht="12.75" x14ac:dyDescent="0.2">
      <c r="J160" s="5"/>
      <c r="K160" s="5"/>
      <c r="O160" s="5"/>
      <c r="P160" s="5"/>
      <c r="Q160" s="5"/>
    </row>
    <row r="161" spans="10:17" ht="12.75" x14ac:dyDescent="0.2">
      <c r="J161" s="5"/>
      <c r="K161" s="5"/>
      <c r="O161" s="5"/>
      <c r="P161" s="5"/>
      <c r="Q161" s="5"/>
    </row>
    <row r="162" spans="10:17" ht="12.75" x14ac:dyDescent="0.2">
      <c r="J162" s="5"/>
      <c r="K162" s="5"/>
      <c r="O162" s="5"/>
      <c r="P162" s="5"/>
      <c r="Q162" s="5"/>
    </row>
    <row r="163" spans="10:17" ht="12.75" x14ac:dyDescent="0.2">
      <c r="J163" s="5"/>
      <c r="K163" s="5"/>
      <c r="O163" s="5"/>
      <c r="P163" s="5"/>
      <c r="Q163" s="5"/>
    </row>
    <row r="164" spans="10:17" ht="12.75" x14ac:dyDescent="0.2">
      <c r="J164" s="5"/>
      <c r="K164" s="5"/>
      <c r="O164" s="5"/>
      <c r="P164" s="5"/>
      <c r="Q164" s="5"/>
    </row>
    <row r="165" spans="10:17" ht="12.75" x14ac:dyDescent="0.2">
      <c r="J165" s="5"/>
      <c r="K165" s="5"/>
      <c r="O165" s="5"/>
      <c r="P165" s="5"/>
      <c r="Q165" s="5"/>
    </row>
    <row r="166" spans="10:17" ht="12.75" x14ac:dyDescent="0.2">
      <c r="J166" s="5"/>
      <c r="K166" s="5"/>
      <c r="O166" s="5"/>
      <c r="P166" s="5"/>
      <c r="Q166" s="5"/>
    </row>
    <row r="167" spans="10:17" ht="12.75" x14ac:dyDescent="0.2">
      <c r="J167" s="5"/>
      <c r="K167" s="5"/>
      <c r="O167" s="5"/>
      <c r="P167" s="5"/>
      <c r="Q167" s="5"/>
    </row>
    <row r="168" spans="10:17" ht="12.75" x14ac:dyDescent="0.2">
      <c r="J168" s="5"/>
      <c r="K168" s="5"/>
      <c r="O168" s="5"/>
      <c r="P168" s="5"/>
      <c r="Q168" s="5"/>
    </row>
    <row r="169" spans="10:17" ht="12.75" x14ac:dyDescent="0.2">
      <c r="J169" s="5"/>
      <c r="K169" s="5"/>
      <c r="O169" s="5"/>
      <c r="P169" s="5"/>
      <c r="Q169" s="5"/>
    </row>
    <row r="170" spans="10:17" ht="12.75" x14ac:dyDescent="0.2">
      <c r="J170" s="5"/>
      <c r="K170" s="5"/>
      <c r="O170" s="5"/>
      <c r="P170" s="5"/>
      <c r="Q170" s="5"/>
    </row>
    <row r="171" spans="10:17" ht="12.75" x14ac:dyDescent="0.2">
      <c r="J171" s="5"/>
      <c r="K171" s="5"/>
      <c r="O171" s="5"/>
      <c r="P171" s="5"/>
      <c r="Q171" s="5"/>
    </row>
    <row r="172" spans="10:17" ht="12.75" x14ac:dyDescent="0.2">
      <c r="J172" s="5"/>
      <c r="K172" s="5"/>
      <c r="O172" s="5"/>
      <c r="P172" s="5"/>
      <c r="Q172" s="5"/>
    </row>
    <row r="173" spans="10:17" ht="12.75" x14ac:dyDescent="0.2">
      <c r="J173" s="5"/>
      <c r="K173" s="5"/>
      <c r="O173" s="5"/>
      <c r="P173" s="5"/>
      <c r="Q173" s="5"/>
    </row>
    <row r="174" spans="10:17" ht="12.75" x14ac:dyDescent="0.2">
      <c r="J174" s="5"/>
      <c r="K174" s="5"/>
      <c r="O174" s="5"/>
      <c r="P174" s="5"/>
      <c r="Q174" s="5"/>
    </row>
    <row r="175" spans="10:17" ht="12.75" x14ac:dyDescent="0.2">
      <c r="J175" s="5"/>
      <c r="K175" s="5"/>
      <c r="O175" s="5"/>
      <c r="P175" s="5"/>
      <c r="Q175" s="5"/>
    </row>
    <row r="176" spans="10:17" ht="12.75" x14ac:dyDescent="0.2">
      <c r="J176" s="5"/>
      <c r="K176" s="5"/>
      <c r="O176" s="5"/>
      <c r="P176" s="5"/>
      <c r="Q176" s="5"/>
    </row>
    <row r="177" spans="10:17" ht="12.75" x14ac:dyDescent="0.2">
      <c r="J177" s="5"/>
      <c r="K177" s="5"/>
      <c r="O177" s="5"/>
      <c r="P177" s="5"/>
      <c r="Q177" s="5"/>
    </row>
    <row r="178" spans="10:17" ht="12.75" x14ac:dyDescent="0.2">
      <c r="J178" s="5"/>
      <c r="K178" s="5"/>
      <c r="O178" s="5"/>
      <c r="P178" s="5"/>
      <c r="Q178" s="5"/>
    </row>
    <row r="179" spans="10:17" ht="12.75" x14ac:dyDescent="0.2">
      <c r="J179" s="5"/>
      <c r="K179" s="5"/>
      <c r="O179" s="5"/>
      <c r="P179" s="5"/>
      <c r="Q179" s="5"/>
    </row>
    <row r="180" spans="10:17" ht="12.75" x14ac:dyDescent="0.2">
      <c r="J180" s="5"/>
      <c r="K180" s="5"/>
      <c r="O180" s="5"/>
      <c r="P180" s="5"/>
      <c r="Q180" s="5"/>
    </row>
    <row r="181" spans="10:17" ht="12.75" x14ac:dyDescent="0.2">
      <c r="J181" s="5"/>
      <c r="K181" s="5"/>
      <c r="O181" s="5"/>
      <c r="P181" s="5"/>
      <c r="Q181" s="5"/>
    </row>
    <row r="182" spans="10:17" ht="12.75" x14ac:dyDescent="0.2">
      <c r="J182" s="5"/>
      <c r="K182" s="5"/>
      <c r="O182" s="5"/>
      <c r="P182" s="5"/>
      <c r="Q182" s="5"/>
    </row>
    <row r="183" spans="10:17" ht="12.75" x14ac:dyDescent="0.2">
      <c r="J183" s="5"/>
      <c r="K183" s="5"/>
      <c r="O183" s="5"/>
      <c r="P183" s="5"/>
      <c r="Q183" s="5"/>
    </row>
    <row r="184" spans="10:17" ht="12.75" x14ac:dyDescent="0.2">
      <c r="J184" s="5"/>
      <c r="K184" s="5"/>
      <c r="O184" s="5"/>
      <c r="P184" s="5"/>
      <c r="Q184" s="5"/>
    </row>
    <row r="185" spans="10:17" ht="12.75" x14ac:dyDescent="0.2">
      <c r="J185" s="5"/>
      <c r="K185" s="5"/>
      <c r="O185" s="5"/>
      <c r="P185" s="5"/>
      <c r="Q185" s="5"/>
    </row>
    <row r="186" spans="10:17" ht="12.75" x14ac:dyDescent="0.2">
      <c r="J186" s="5"/>
      <c r="K186" s="5"/>
      <c r="O186" s="5"/>
      <c r="P186" s="5"/>
      <c r="Q186" s="5"/>
    </row>
    <row r="187" spans="10:17" ht="12.75" x14ac:dyDescent="0.2">
      <c r="J187" s="5"/>
      <c r="K187" s="5"/>
      <c r="O187" s="5"/>
      <c r="P187" s="5"/>
      <c r="Q187" s="5"/>
    </row>
    <row r="188" spans="10:17" ht="12.75" x14ac:dyDescent="0.2">
      <c r="J188" s="5"/>
      <c r="K188" s="5"/>
      <c r="O188" s="5"/>
      <c r="P188" s="5"/>
      <c r="Q188" s="5"/>
    </row>
    <row r="189" spans="10:17" ht="12.75" x14ac:dyDescent="0.2">
      <c r="J189" s="5"/>
      <c r="K189" s="5"/>
      <c r="O189" s="5"/>
      <c r="P189" s="5"/>
      <c r="Q189" s="5"/>
    </row>
    <row r="190" spans="10:17" ht="12.75" x14ac:dyDescent="0.2">
      <c r="J190" s="5"/>
      <c r="K190" s="5"/>
      <c r="O190" s="5"/>
      <c r="P190" s="5"/>
      <c r="Q190" s="5"/>
    </row>
    <row r="191" spans="10:17" ht="12.75" x14ac:dyDescent="0.2">
      <c r="J191" s="5"/>
      <c r="K191" s="5"/>
      <c r="O191" s="5"/>
      <c r="P191" s="5"/>
      <c r="Q191" s="5"/>
    </row>
    <row r="192" spans="10:17" ht="12.75" x14ac:dyDescent="0.2">
      <c r="J192" s="5"/>
      <c r="K192" s="5"/>
      <c r="O192" s="5"/>
      <c r="P192" s="5"/>
      <c r="Q192" s="5"/>
    </row>
    <row r="193" spans="10:17" ht="12.75" x14ac:dyDescent="0.2">
      <c r="J193" s="5"/>
      <c r="K193" s="5"/>
      <c r="O193" s="5"/>
      <c r="P193" s="5"/>
      <c r="Q193" s="5"/>
    </row>
    <row r="194" spans="10:17" ht="12.75" x14ac:dyDescent="0.2">
      <c r="J194" s="5"/>
      <c r="K194" s="5"/>
      <c r="O194" s="5"/>
      <c r="P194" s="5"/>
      <c r="Q194" s="5"/>
    </row>
    <row r="195" spans="10:17" ht="12.75" x14ac:dyDescent="0.2">
      <c r="J195" s="5"/>
      <c r="K195" s="5"/>
      <c r="O195" s="5"/>
      <c r="P195" s="5"/>
      <c r="Q195" s="5"/>
    </row>
    <row r="196" spans="10:17" ht="12.75" x14ac:dyDescent="0.2">
      <c r="J196" s="5"/>
      <c r="K196" s="5"/>
      <c r="O196" s="5"/>
      <c r="P196" s="5"/>
      <c r="Q196" s="5"/>
    </row>
    <row r="197" spans="10:17" ht="12.75" x14ac:dyDescent="0.2">
      <c r="J197" s="5"/>
      <c r="K197" s="5"/>
      <c r="O197" s="5"/>
      <c r="P197" s="5"/>
      <c r="Q197" s="5"/>
    </row>
    <row r="198" spans="10:17" ht="12.75" x14ac:dyDescent="0.2">
      <c r="J198" s="5"/>
      <c r="K198" s="5"/>
      <c r="O198" s="5"/>
      <c r="P198" s="5"/>
      <c r="Q198" s="5"/>
    </row>
    <row r="199" spans="10:17" ht="12.75" x14ac:dyDescent="0.2">
      <c r="J199" s="5"/>
      <c r="K199" s="5"/>
      <c r="O199" s="5"/>
      <c r="P199" s="5"/>
      <c r="Q199" s="5"/>
    </row>
    <row r="200" spans="10:17" ht="12.75" x14ac:dyDescent="0.2">
      <c r="J200" s="5"/>
      <c r="K200" s="5"/>
      <c r="O200" s="5"/>
      <c r="P200" s="5"/>
      <c r="Q200" s="5"/>
    </row>
    <row r="201" spans="10:17" ht="12.75" x14ac:dyDescent="0.2">
      <c r="J201" s="5"/>
      <c r="K201" s="5"/>
      <c r="O201" s="5"/>
      <c r="P201" s="5"/>
      <c r="Q201" s="5"/>
    </row>
    <row r="202" spans="10:17" ht="12.75" x14ac:dyDescent="0.2">
      <c r="J202" s="5"/>
      <c r="K202" s="5"/>
      <c r="O202" s="5"/>
      <c r="P202" s="5"/>
      <c r="Q202" s="5"/>
    </row>
    <row r="203" spans="10:17" ht="12.75" x14ac:dyDescent="0.2">
      <c r="J203" s="5"/>
      <c r="K203" s="5"/>
      <c r="O203" s="5"/>
      <c r="P203" s="5"/>
      <c r="Q203" s="5"/>
    </row>
    <row r="204" spans="10:17" ht="12.75" x14ac:dyDescent="0.2">
      <c r="J204" s="5"/>
      <c r="K204" s="5"/>
      <c r="O204" s="5"/>
      <c r="P204" s="5"/>
      <c r="Q204" s="5"/>
    </row>
    <row r="205" spans="10:17" ht="12.75" x14ac:dyDescent="0.2">
      <c r="J205" s="5"/>
      <c r="K205" s="5"/>
      <c r="O205" s="5"/>
      <c r="P205" s="5"/>
      <c r="Q205" s="5"/>
    </row>
    <row r="206" spans="10:17" ht="12.75" x14ac:dyDescent="0.2">
      <c r="J206" s="5"/>
      <c r="K206" s="5"/>
      <c r="O206" s="5"/>
      <c r="P206" s="5"/>
      <c r="Q206" s="5"/>
    </row>
    <row r="207" spans="10:17" ht="12.75" x14ac:dyDescent="0.2">
      <c r="J207" s="5"/>
      <c r="K207" s="5"/>
      <c r="O207" s="5"/>
      <c r="P207" s="5"/>
      <c r="Q207" s="5"/>
    </row>
    <row r="208" spans="10:17" ht="12.75" x14ac:dyDescent="0.2">
      <c r="J208" s="5"/>
      <c r="K208" s="5"/>
      <c r="O208" s="5"/>
      <c r="P208" s="5"/>
      <c r="Q208" s="5"/>
    </row>
    <row r="209" spans="10:17" ht="12.75" x14ac:dyDescent="0.2">
      <c r="J209" s="5"/>
      <c r="K209" s="5"/>
      <c r="O209" s="5"/>
      <c r="P209" s="5"/>
      <c r="Q209" s="5"/>
    </row>
    <row r="210" spans="10:17" ht="12.75" x14ac:dyDescent="0.2">
      <c r="J210" s="5"/>
      <c r="K210" s="5"/>
      <c r="O210" s="5"/>
      <c r="P210" s="5"/>
      <c r="Q210" s="5"/>
    </row>
    <row r="211" spans="10:17" ht="12.75" x14ac:dyDescent="0.2">
      <c r="J211" s="5"/>
      <c r="K211" s="5"/>
      <c r="O211" s="5"/>
      <c r="P211" s="5"/>
      <c r="Q211" s="5"/>
    </row>
    <row r="212" spans="10:17" ht="12.75" x14ac:dyDescent="0.2">
      <c r="J212" s="5"/>
      <c r="K212" s="5"/>
      <c r="O212" s="5"/>
      <c r="P212" s="5"/>
      <c r="Q212" s="5"/>
    </row>
    <row r="213" spans="10:17" ht="12.75" x14ac:dyDescent="0.2">
      <c r="J213" s="5"/>
      <c r="K213" s="5"/>
      <c r="O213" s="5"/>
      <c r="P213" s="5"/>
      <c r="Q213" s="5"/>
    </row>
    <row r="214" spans="10:17" ht="12.75" x14ac:dyDescent="0.2">
      <c r="J214" s="5"/>
      <c r="K214" s="5"/>
      <c r="O214" s="5"/>
      <c r="P214" s="5"/>
      <c r="Q214" s="5"/>
    </row>
    <row r="215" spans="10:17" ht="12.75" x14ac:dyDescent="0.2">
      <c r="J215" s="5"/>
      <c r="K215" s="5"/>
      <c r="O215" s="5"/>
      <c r="P215" s="5"/>
      <c r="Q215" s="5"/>
    </row>
    <row r="216" spans="10:17" ht="12.75" x14ac:dyDescent="0.2">
      <c r="J216" s="5"/>
      <c r="K216" s="5"/>
      <c r="O216" s="5"/>
      <c r="P216" s="5"/>
      <c r="Q216" s="5"/>
    </row>
    <row r="217" spans="10:17" ht="12.75" x14ac:dyDescent="0.2">
      <c r="J217" s="5"/>
      <c r="K217" s="5"/>
      <c r="O217" s="5"/>
      <c r="P217" s="5"/>
      <c r="Q217" s="5"/>
    </row>
    <row r="218" spans="10:17" ht="12.75" x14ac:dyDescent="0.2">
      <c r="J218" s="5"/>
      <c r="K218" s="5"/>
      <c r="O218" s="5"/>
      <c r="P218" s="5"/>
      <c r="Q218" s="5"/>
    </row>
    <row r="219" spans="10:17" ht="12.75" x14ac:dyDescent="0.2">
      <c r="J219" s="5"/>
      <c r="K219" s="5"/>
      <c r="O219" s="5"/>
      <c r="P219" s="5"/>
      <c r="Q219" s="5"/>
    </row>
    <row r="220" spans="10:17" ht="12.75" x14ac:dyDescent="0.2">
      <c r="J220" s="5"/>
      <c r="K220" s="5"/>
      <c r="O220" s="5"/>
      <c r="P220" s="5"/>
      <c r="Q220" s="5"/>
    </row>
    <row r="221" spans="10:17" ht="12.75" x14ac:dyDescent="0.2">
      <c r="J221" s="5"/>
      <c r="K221" s="5"/>
      <c r="O221" s="5"/>
      <c r="P221" s="5"/>
      <c r="Q221" s="5"/>
    </row>
    <row r="222" spans="10:17" ht="12.75" x14ac:dyDescent="0.2">
      <c r="J222" s="5"/>
      <c r="K222" s="5"/>
      <c r="O222" s="5"/>
      <c r="P222" s="5"/>
      <c r="Q222" s="5"/>
    </row>
    <row r="223" spans="10:17" ht="12.75" x14ac:dyDescent="0.2">
      <c r="J223" s="5"/>
      <c r="K223" s="5"/>
      <c r="O223" s="5"/>
      <c r="P223" s="5"/>
      <c r="Q223" s="5"/>
    </row>
    <row r="224" spans="10:17" ht="12.75" x14ac:dyDescent="0.2">
      <c r="J224" s="5"/>
      <c r="K224" s="5"/>
      <c r="O224" s="5"/>
      <c r="P224" s="5"/>
      <c r="Q224" s="5"/>
    </row>
    <row r="225" spans="10:17" ht="12.75" x14ac:dyDescent="0.2">
      <c r="J225" s="5"/>
      <c r="K225" s="5"/>
      <c r="O225" s="5"/>
      <c r="P225" s="5"/>
      <c r="Q225" s="5"/>
    </row>
    <row r="226" spans="10:17" ht="12.75" x14ac:dyDescent="0.2">
      <c r="J226" s="5"/>
      <c r="K226" s="5"/>
      <c r="O226" s="5"/>
      <c r="P226" s="5"/>
      <c r="Q226" s="5"/>
    </row>
    <row r="227" spans="10:17" ht="12.75" x14ac:dyDescent="0.2">
      <c r="J227" s="5"/>
      <c r="K227" s="5"/>
      <c r="O227" s="5"/>
      <c r="P227" s="5"/>
      <c r="Q227" s="5"/>
    </row>
    <row r="228" spans="10:17" ht="12.75" x14ac:dyDescent="0.2">
      <c r="J228" s="5"/>
      <c r="K228" s="5"/>
      <c r="O228" s="5"/>
      <c r="P228" s="5"/>
      <c r="Q228" s="5"/>
    </row>
    <row r="229" spans="10:17" ht="12.75" x14ac:dyDescent="0.2">
      <c r="J229" s="5"/>
      <c r="K229" s="5"/>
      <c r="O229" s="5"/>
      <c r="P229" s="5"/>
      <c r="Q229" s="5"/>
    </row>
    <row r="230" spans="10:17" ht="12.75" x14ac:dyDescent="0.2">
      <c r="J230" s="5"/>
      <c r="K230" s="5"/>
      <c r="O230" s="5"/>
      <c r="P230" s="5"/>
      <c r="Q230" s="5"/>
    </row>
    <row r="231" spans="10:17" ht="12.75" x14ac:dyDescent="0.2">
      <c r="J231" s="5"/>
      <c r="K231" s="5"/>
      <c r="O231" s="5"/>
      <c r="P231" s="5"/>
      <c r="Q231" s="5"/>
    </row>
    <row r="232" spans="10:17" ht="12.75" x14ac:dyDescent="0.2">
      <c r="J232" s="5"/>
      <c r="K232" s="5"/>
      <c r="O232" s="5"/>
      <c r="P232" s="5"/>
      <c r="Q232" s="5"/>
    </row>
    <row r="233" spans="10:17" ht="12.75" x14ac:dyDescent="0.2">
      <c r="J233" s="5"/>
      <c r="K233" s="5"/>
      <c r="O233" s="5"/>
      <c r="P233" s="5"/>
      <c r="Q233" s="5"/>
    </row>
    <row r="234" spans="10:17" ht="12.75" x14ac:dyDescent="0.2">
      <c r="J234" s="5"/>
      <c r="K234" s="5"/>
      <c r="O234" s="5"/>
      <c r="P234" s="5"/>
      <c r="Q234" s="5"/>
    </row>
    <row r="235" spans="10:17" ht="12.75" x14ac:dyDescent="0.2">
      <c r="J235" s="5"/>
      <c r="K235" s="5"/>
      <c r="O235" s="5"/>
      <c r="P235" s="5"/>
      <c r="Q235" s="5"/>
    </row>
    <row r="236" spans="10:17" ht="12.75" x14ac:dyDescent="0.2">
      <c r="J236" s="5"/>
      <c r="K236" s="5"/>
      <c r="O236" s="5"/>
      <c r="P236" s="5"/>
      <c r="Q236" s="5"/>
    </row>
    <row r="237" spans="10:17" ht="12.75" x14ac:dyDescent="0.2">
      <c r="J237" s="5"/>
      <c r="K237" s="5"/>
      <c r="O237" s="5"/>
      <c r="P237" s="5"/>
      <c r="Q237" s="5"/>
    </row>
    <row r="238" spans="10:17" ht="12.75" x14ac:dyDescent="0.2">
      <c r="J238" s="5"/>
      <c r="K238" s="5"/>
      <c r="O238" s="5"/>
      <c r="P238" s="5"/>
      <c r="Q238" s="5"/>
    </row>
    <row r="239" spans="10:17" ht="12.75" x14ac:dyDescent="0.2">
      <c r="J239" s="5"/>
      <c r="K239" s="5"/>
      <c r="O239" s="5"/>
      <c r="P239" s="5"/>
      <c r="Q239" s="5"/>
    </row>
    <row r="240" spans="10:17" ht="12.75" x14ac:dyDescent="0.2">
      <c r="J240" s="5"/>
      <c r="K240" s="5"/>
      <c r="O240" s="5"/>
      <c r="P240" s="5"/>
      <c r="Q240" s="5"/>
    </row>
    <row r="241" spans="10:17" ht="12.75" x14ac:dyDescent="0.2">
      <c r="J241" s="5"/>
      <c r="K241" s="5"/>
      <c r="O241" s="5"/>
      <c r="P241" s="5"/>
      <c r="Q241" s="5"/>
    </row>
    <row r="242" spans="10:17" ht="12.75" x14ac:dyDescent="0.2">
      <c r="J242" s="5"/>
      <c r="K242" s="5"/>
      <c r="O242" s="5"/>
      <c r="P242" s="5"/>
      <c r="Q242" s="5"/>
    </row>
    <row r="243" spans="10:17" ht="12.75" x14ac:dyDescent="0.2">
      <c r="J243" s="5"/>
      <c r="K243" s="5"/>
      <c r="O243" s="5"/>
      <c r="P243" s="5"/>
      <c r="Q243" s="5"/>
    </row>
    <row r="244" spans="10:17" ht="12.75" x14ac:dyDescent="0.2">
      <c r="J244" s="5"/>
      <c r="K244" s="5"/>
      <c r="O244" s="5"/>
      <c r="P244" s="5"/>
      <c r="Q244" s="5"/>
    </row>
    <row r="245" spans="10:17" ht="12.75" x14ac:dyDescent="0.2">
      <c r="J245" s="5"/>
      <c r="K245" s="5"/>
      <c r="O245" s="5"/>
      <c r="P245" s="5"/>
      <c r="Q245" s="5"/>
    </row>
    <row r="246" spans="10:17" ht="12.75" x14ac:dyDescent="0.2">
      <c r="J246" s="5"/>
      <c r="K246" s="5"/>
      <c r="O246" s="5"/>
      <c r="P246" s="5"/>
      <c r="Q246" s="5"/>
    </row>
    <row r="247" spans="10:17" ht="12.75" x14ac:dyDescent="0.2">
      <c r="J247" s="5"/>
      <c r="K247" s="5"/>
      <c r="O247" s="5"/>
      <c r="P247" s="5"/>
      <c r="Q247" s="5"/>
    </row>
    <row r="248" spans="10:17" ht="12.75" x14ac:dyDescent="0.2">
      <c r="J248" s="5"/>
      <c r="K248" s="5"/>
      <c r="O248" s="5"/>
      <c r="P248" s="5"/>
      <c r="Q248" s="5"/>
    </row>
    <row r="249" spans="10:17" ht="12.75" x14ac:dyDescent="0.2">
      <c r="J249" s="5"/>
      <c r="K249" s="5"/>
      <c r="O249" s="5"/>
      <c r="P249" s="5"/>
      <c r="Q249" s="5"/>
    </row>
    <row r="250" spans="10:17" ht="12.75" x14ac:dyDescent="0.2">
      <c r="J250" s="5"/>
      <c r="K250" s="5"/>
      <c r="O250" s="5"/>
      <c r="P250" s="5"/>
      <c r="Q250" s="5"/>
    </row>
    <row r="251" spans="10:17" ht="12.75" x14ac:dyDescent="0.2">
      <c r="J251" s="5"/>
      <c r="K251" s="5"/>
      <c r="O251" s="5"/>
      <c r="P251" s="5"/>
      <c r="Q251" s="5"/>
    </row>
    <row r="252" spans="10:17" ht="12.75" x14ac:dyDescent="0.2">
      <c r="J252" s="5"/>
      <c r="K252" s="5"/>
      <c r="O252" s="5"/>
      <c r="P252" s="5"/>
      <c r="Q252" s="5"/>
    </row>
    <row r="253" spans="10:17" ht="12.75" x14ac:dyDescent="0.2">
      <c r="J253" s="5"/>
      <c r="K253" s="5"/>
      <c r="O253" s="5"/>
      <c r="P253" s="5"/>
      <c r="Q253" s="5"/>
    </row>
    <row r="254" spans="10:17" ht="12.75" x14ac:dyDescent="0.2">
      <c r="J254" s="5"/>
      <c r="K254" s="5"/>
      <c r="O254" s="5"/>
      <c r="P254" s="5"/>
      <c r="Q254" s="5"/>
    </row>
    <row r="255" spans="10:17" ht="12.75" x14ac:dyDescent="0.2">
      <c r="J255" s="5"/>
      <c r="K255" s="5"/>
      <c r="O255" s="5"/>
      <c r="P255" s="5"/>
      <c r="Q255" s="5"/>
    </row>
    <row r="256" spans="10:17" ht="12.75" x14ac:dyDescent="0.2">
      <c r="J256" s="5"/>
      <c r="K256" s="5"/>
      <c r="O256" s="5"/>
      <c r="P256" s="5"/>
      <c r="Q256" s="5"/>
    </row>
    <row r="257" spans="10:17" ht="12.75" x14ac:dyDescent="0.2">
      <c r="J257" s="5"/>
      <c r="K257" s="5"/>
      <c r="O257" s="5"/>
      <c r="P257" s="5"/>
      <c r="Q257" s="5"/>
    </row>
    <row r="258" spans="10:17" ht="12.75" x14ac:dyDescent="0.2">
      <c r="J258" s="5"/>
      <c r="K258" s="5"/>
      <c r="O258" s="5"/>
      <c r="P258" s="5"/>
      <c r="Q258" s="5"/>
    </row>
    <row r="259" spans="10:17" ht="12.75" x14ac:dyDescent="0.2">
      <c r="J259" s="5"/>
      <c r="K259" s="5"/>
      <c r="O259" s="5"/>
      <c r="P259" s="5"/>
      <c r="Q259" s="5"/>
    </row>
    <row r="260" spans="10:17" ht="12.75" x14ac:dyDescent="0.2">
      <c r="J260" s="5"/>
      <c r="K260" s="5"/>
      <c r="O260" s="5"/>
      <c r="P260" s="5"/>
      <c r="Q260" s="5"/>
    </row>
    <row r="261" spans="10:17" ht="12.75" x14ac:dyDescent="0.2">
      <c r="J261" s="5"/>
      <c r="K261" s="5"/>
      <c r="O261" s="5"/>
      <c r="P261" s="5"/>
      <c r="Q261" s="5"/>
    </row>
    <row r="262" spans="10:17" ht="12.75" x14ac:dyDescent="0.2">
      <c r="J262" s="5"/>
      <c r="K262" s="5"/>
      <c r="O262" s="5"/>
      <c r="P262" s="5"/>
      <c r="Q262" s="5"/>
    </row>
    <row r="263" spans="10:17" ht="12.75" x14ac:dyDescent="0.2">
      <c r="J263" s="5"/>
      <c r="K263" s="5"/>
      <c r="O263" s="5"/>
      <c r="P263" s="5"/>
      <c r="Q263" s="5"/>
    </row>
    <row r="264" spans="10:17" ht="12.75" x14ac:dyDescent="0.2">
      <c r="J264" s="5"/>
      <c r="K264" s="5"/>
      <c r="O264" s="5"/>
      <c r="P264" s="5"/>
      <c r="Q264" s="5"/>
    </row>
    <row r="265" spans="10:17" ht="12.75" x14ac:dyDescent="0.2">
      <c r="J265" s="5"/>
      <c r="K265" s="5"/>
      <c r="O265" s="5"/>
      <c r="P265" s="5"/>
      <c r="Q265" s="5"/>
    </row>
    <row r="266" spans="10:17" ht="12.75" x14ac:dyDescent="0.2">
      <c r="J266" s="5"/>
      <c r="K266" s="5"/>
      <c r="O266" s="5"/>
      <c r="P266" s="5"/>
      <c r="Q266" s="5"/>
    </row>
    <row r="267" spans="10:17" ht="12.75" x14ac:dyDescent="0.2">
      <c r="J267" s="5"/>
      <c r="K267" s="5"/>
      <c r="O267" s="5"/>
      <c r="P267" s="5"/>
      <c r="Q267" s="5"/>
    </row>
    <row r="268" spans="10:17" ht="12.75" x14ac:dyDescent="0.2">
      <c r="J268" s="5"/>
      <c r="K268" s="5"/>
      <c r="O268" s="5"/>
      <c r="P268" s="5"/>
      <c r="Q268" s="5"/>
    </row>
    <row r="269" spans="10:17" ht="12.75" x14ac:dyDescent="0.2">
      <c r="J269" s="5"/>
      <c r="K269" s="5"/>
      <c r="O269" s="5"/>
      <c r="P269" s="5"/>
      <c r="Q269" s="5"/>
    </row>
    <row r="270" spans="10:17" ht="12.75" x14ac:dyDescent="0.2">
      <c r="J270" s="5"/>
      <c r="K270" s="5"/>
      <c r="O270" s="5"/>
      <c r="P270" s="5"/>
      <c r="Q270" s="5"/>
    </row>
    <row r="271" spans="10:17" ht="12.75" x14ac:dyDescent="0.2">
      <c r="J271" s="5"/>
      <c r="K271" s="5"/>
      <c r="O271" s="5"/>
      <c r="P271" s="5"/>
      <c r="Q271" s="5"/>
    </row>
    <row r="272" spans="10:17" ht="12.75" x14ac:dyDescent="0.2">
      <c r="J272" s="5"/>
      <c r="K272" s="5"/>
      <c r="O272" s="5"/>
      <c r="P272" s="5"/>
      <c r="Q272" s="5"/>
    </row>
    <row r="273" spans="10:17" ht="12.75" x14ac:dyDescent="0.2">
      <c r="J273" s="5"/>
      <c r="K273" s="5"/>
      <c r="O273" s="5"/>
      <c r="P273" s="5"/>
      <c r="Q273" s="5"/>
    </row>
    <row r="274" spans="10:17" ht="12.75" x14ac:dyDescent="0.2">
      <c r="J274" s="5"/>
      <c r="K274" s="5"/>
      <c r="O274" s="5"/>
      <c r="P274" s="5"/>
      <c r="Q274" s="5"/>
    </row>
    <row r="275" spans="10:17" ht="12.75" x14ac:dyDescent="0.2">
      <c r="J275" s="5"/>
      <c r="K275" s="5"/>
      <c r="O275" s="5"/>
      <c r="P275" s="5"/>
      <c r="Q275" s="5"/>
    </row>
    <row r="276" spans="10:17" ht="12.75" x14ac:dyDescent="0.2">
      <c r="J276" s="5"/>
      <c r="K276" s="5"/>
      <c r="O276" s="5"/>
      <c r="P276" s="5"/>
      <c r="Q276" s="5"/>
    </row>
    <row r="277" spans="10:17" ht="12.75" x14ac:dyDescent="0.2">
      <c r="J277" s="5"/>
      <c r="K277" s="5"/>
      <c r="O277" s="5"/>
      <c r="P277" s="5"/>
      <c r="Q277" s="5"/>
    </row>
    <row r="278" spans="10:17" ht="12.75" x14ac:dyDescent="0.2">
      <c r="J278" s="5"/>
      <c r="K278" s="5"/>
      <c r="O278" s="5"/>
      <c r="P278" s="5"/>
      <c r="Q278" s="5"/>
    </row>
    <row r="279" spans="10:17" ht="12.75" x14ac:dyDescent="0.2">
      <c r="J279" s="5"/>
      <c r="K279" s="5"/>
      <c r="O279" s="5"/>
      <c r="P279" s="5"/>
      <c r="Q279" s="5"/>
    </row>
    <row r="280" spans="10:17" ht="12.75" x14ac:dyDescent="0.2">
      <c r="J280" s="5"/>
      <c r="K280" s="5"/>
      <c r="O280" s="5"/>
      <c r="P280" s="5"/>
      <c r="Q280" s="5"/>
    </row>
    <row r="281" spans="10:17" ht="12.75" x14ac:dyDescent="0.2">
      <c r="J281" s="5"/>
      <c r="K281" s="5"/>
      <c r="O281" s="5"/>
      <c r="P281" s="5"/>
      <c r="Q281" s="5"/>
    </row>
    <row r="282" spans="10:17" ht="12.75" x14ac:dyDescent="0.2">
      <c r="J282" s="5"/>
      <c r="K282" s="5"/>
      <c r="O282" s="5"/>
      <c r="P282" s="5"/>
      <c r="Q282" s="5"/>
    </row>
    <row r="283" spans="10:17" ht="12.75" x14ac:dyDescent="0.2">
      <c r="J283" s="5"/>
      <c r="K283" s="5"/>
      <c r="O283" s="5"/>
      <c r="P283" s="5"/>
      <c r="Q283" s="5"/>
    </row>
    <row r="284" spans="10:17" ht="12.75" x14ac:dyDescent="0.2">
      <c r="J284" s="5"/>
      <c r="K284" s="5"/>
      <c r="O284" s="5"/>
      <c r="P284" s="5"/>
      <c r="Q284" s="5"/>
    </row>
    <row r="285" spans="10:17" ht="12.75" x14ac:dyDescent="0.2">
      <c r="J285" s="5"/>
      <c r="K285" s="5"/>
      <c r="O285" s="5"/>
      <c r="P285" s="5"/>
      <c r="Q285" s="5"/>
    </row>
    <row r="286" spans="10:17" ht="12.75" x14ac:dyDescent="0.2">
      <c r="J286" s="5"/>
      <c r="K286" s="5"/>
      <c r="O286" s="5"/>
      <c r="P286" s="5"/>
      <c r="Q286" s="5"/>
    </row>
    <row r="287" spans="10:17" ht="12.75" x14ac:dyDescent="0.2">
      <c r="J287" s="5"/>
      <c r="K287" s="5"/>
      <c r="O287" s="5"/>
      <c r="P287" s="5"/>
      <c r="Q287" s="5"/>
    </row>
    <row r="288" spans="10:17" ht="12.75" x14ac:dyDescent="0.2">
      <c r="J288" s="5"/>
      <c r="K288" s="5"/>
      <c r="O288" s="5"/>
      <c r="P288" s="5"/>
      <c r="Q288" s="5"/>
    </row>
    <row r="289" spans="10:17" ht="12.75" x14ac:dyDescent="0.2">
      <c r="J289" s="5"/>
      <c r="K289" s="5"/>
      <c r="O289" s="5"/>
      <c r="P289" s="5"/>
      <c r="Q289" s="5"/>
    </row>
    <row r="290" spans="10:17" ht="12.75" x14ac:dyDescent="0.2">
      <c r="J290" s="5"/>
      <c r="K290" s="5"/>
      <c r="O290" s="5"/>
      <c r="P290" s="5"/>
      <c r="Q290" s="5"/>
    </row>
    <row r="291" spans="10:17" ht="12.75" x14ac:dyDescent="0.2">
      <c r="J291" s="5"/>
      <c r="K291" s="5"/>
      <c r="O291" s="5"/>
      <c r="P291" s="5"/>
      <c r="Q291" s="5"/>
    </row>
    <row r="292" spans="10:17" ht="12.75" x14ac:dyDescent="0.2">
      <c r="J292" s="5"/>
      <c r="K292" s="5"/>
      <c r="O292" s="5"/>
      <c r="P292" s="5"/>
      <c r="Q292" s="5"/>
    </row>
    <row r="293" spans="10:17" ht="12.75" x14ac:dyDescent="0.2">
      <c r="J293" s="5"/>
      <c r="K293" s="5"/>
      <c r="O293" s="5"/>
      <c r="P293" s="5"/>
      <c r="Q293" s="5"/>
    </row>
    <row r="294" spans="10:17" ht="12.75" x14ac:dyDescent="0.2">
      <c r="J294" s="5"/>
      <c r="K294" s="5"/>
      <c r="O294" s="5"/>
      <c r="P294" s="5"/>
      <c r="Q294" s="5"/>
    </row>
    <row r="295" spans="10:17" ht="12.75" x14ac:dyDescent="0.2">
      <c r="J295" s="5"/>
      <c r="K295" s="5"/>
      <c r="O295" s="5"/>
      <c r="P295" s="5"/>
      <c r="Q295" s="5"/>
    </row>
    <row r="296" spans="10:17" ht="12.75" x14ac:dyDescent="0.2">
      <c r="J296" s="5"/>
      <c r="K296" s="5"/>
      <c r="O296" s="5"/>
      <c r="P296" s="5"/>
      <c r="Q296" s="5"/>
    </row>
    <row r="297" spans="10:17" ht="12.75" x14ac:dyDescent="0.2">
      <c r="J297" s="5"/>
      <c r="K297" s="5"/>
      <c r="O297" s="5"/>
      <c r="P297" s="5"/>
      <c r="Q297" s="5"/>
    </row>
    <row r="298" spans="10:17" ht="12.75" x14ac:dyDescent="0.2">
      <c r="J298" s="5"/>
      <c r="K298" s="5"/>
      <c r="O298" s="5"/>
      <c r="P298" s="5"/>
      <c r="Q298" s="5"/>
    </row>
    <row r="299" spans="10:17" ht="12.75" x14ac:dyDescent="0.2">
      <c r="J299" s="5"/>
      <c r="K299" s="5"/>
      <c r="O299" s="5"/>
      <c r="P299" s="5"/>
      <c r="Q299" s="5"/>
    </row>
    <row r="300" spans="10:17" ht="12.75" x14ac:dyDescent="0.2">
      <c r="J300" s="5"/>
      <c r="K300" s="5"/>
      <c r="O300" s="5"/>
      <c r="P300" s="5"/>
      <c r="Q300" s="5"/>
    </row>
    <row r="301" spans="10:17" ht="12.75" x14ac:dyDescent="0.2">
      <c r="J301" s="5"/>
      <c r="K301" s="5"/>
      <c r="O301" s="5"/>
      <c r="P301" s="5"/>
      <c r="Q301" s="5"/>
    </row>
    <row r="302" spans="10:17" ht="12.75" x14ac:dyDescent="0.2">
      <c r="J302" s="5"/>
      <c r="K302" s="5"/>
      <c r="O302" s="5"/>
      <c r="P302" s="5"/>
      <c r="Q302" s="5"/>
    </row>
    <row r="303" spans="10:17" ht="12.75" x14ac:dyDescent="0.2">
      <c r="J303" s="5"/>
      <c r="K303" s="5"/>
      <c r="O303" s="5"/>
      <c r="P303" s="5"/>
      <c r="Q303" s="5"/>
    </row>
    <row r="304" spans="10:17" ht="12.75" x14ac:dyDescent="0.2">
      <c r="J304" s="5"/>
      <c r="K304" s="5"/>
      <c r="O304" s="5"/>
      <c r="P304" s="5"/>
      <c r="Q304" s="5"/>
    </row>
    <row r="305" spans="10:17" ht="12.75" x14ac:dyDescent="0.2">
      <c r="J305" s="5"/>
      <c r="K305" s="5"/>
      <c r="O305" s="5"/>
      <c r="P305" s="5"/>
      <c r="Q305" s="5"/>
    </row>
    <row r="306" spans="10:17" ht="12.75" x14ac:dyDescent="0.2">
      <c r="J306" s="5"/>
      <c r="K306" s="5"/>
      <c r="O306" s="5"/>
      <c r="P306" s="5"/>
      <c r="Q306" s="5"/>
    </row>
    <row r="307" spans="10:17" ht="12.75" x14ac:dyDescent="0.2">
      <c r="J307" s="5"/>
      <c r="K307" s="5"/>
      <c r="O307" s="5"/>
      <c r="P307" s="5"/>
      <c r="Q307" s="5"/>
    </row>
    <row r="308" spans="10:17" ht="12.75" x14ac:dyDescent="0.2">
      <c r="J308" s="5"/>
      <c r="K308" s="5"/>
      <c r="O308" s="5"/>
      <c r="P308" s="5"/>
      <c r="Q308" s="5"/>
    </row>
    <row r="309" spans="10:17" ht="12.75" x14ac:dyDescent="0.2">
      <c r="J309" s="5"/>
      <c r="K309" s="5"/>
      <c r="O309" s="5"/>
      <c r="P309" s="5"/>
      <c r="Q309" s="5"/>
    </row>
    <row r="310" spans="10:17" ht="12.75" x14ac:dyDescent="0.2">
      <c r="J310" s="5"/>
      <c r="K310" s="5"/>
      <c r="O310" s="5"/>
      <c r="P310" s="5"/>
      <c r="Q310" s="5"/>
    </row>
    <row r="311" spans="10:17" ht="12.75" x14ac:dyDescent="0.2">
      <c r="J311" s="5"/>
      <c r="K311" s="5"/>
      <c r="O311" s="5"/>
      <c r="P311" s="5"/>
      <c r="Q311" s="5"/>
    </row>
    <row r="312" spans="10:17" ht="12.75" x14ac:dyDescent="0.2">
      <c r="J312" s="5"/>
      <c r="K312" s="5"/>
      <c r="O312" s="5"/>
      <c r="P312" s="5"/>
      <c r="Q312" s="5"/>
    </row>
    <row r="313" spans="10:17" ht="12.75" x14ac:dyDescent="0.2">
      <c r="J313" s="5"/>
      <c r="K313" s="5"/>
      <c r="O313" s="5"/>
      <c r="P313" s="5"/>
      <c r="Q313" s="5"/>
    </row>
    <row r="314" spans="10:17" ht="12.75" x14ac:dyDescent="0.2">
      <c r="J314" s="5"/>
      <c r="K314" s="5"/>
      <c r="O314" s="5"/>
      <c r="P314" s="5"/>
      <c r="Q314" s="5"/>
    </row>
    <row r="315" spans="10:17" ht="12.75" x14ac:dyDescent="0.2">
      <c r="J315" s="5"/>
      <c r="K315" s="5"/>
      <c r="O315" s="5"/>
      <c r="P315" s="5"/>
      <c r="Q315" s="5"/>
    </row>
    <row r="316" spans="10:17" ht="12.75" x14ac:dyDescent="0.2">
      <c r="J316" s="5"/>
      <c r="K316" s="5"/>
      <c r="O316" s="5"/>
      <c r="P316" s="5"/>
      <c r="Q316" s="5"/>
    </row>
    <row r="317" spans="10:17" ht="12.75" x14ac:dyDescent="0.2">
      <c r="J317" s="5"/>
      <c r="K317" s="5"/>
      <c r="O317" s="5"/>
      <c r="P317" s="5"/>
      <c r="Q317" s="5"/>
    </row>
    <row r="318" spans="10:17" ht="12.75" x14ac:dyDescent="0.2">
      <c r="J318" s="5"/>
      <c r="K318" s="5"/>
      <c r="O318" s="5"/>
      <c r="P318" s="5"/>
      <c r="Q318" s="5"/>
    </row>
    <row r="319" spans="10:17" ht="12.75" x14ac:dyDescent="0.2">
      <c r="J319" s="5"/>
      <c r="K319" s="5"/>
      <c r="O319" s="5"/>
      <c r="P319" s="5"/>
      <c r="Q319" s="5"/>
    </row>
    <row r="320" spans="10:17" ht="12.75" x14ac:dyDescent="0.2">
      <c r="J320" s="5"/>
      <c r="K320" s="5"/>
      <c r="O320" s="5"/>
      <c r="P320" s="5"/>
      <c r="Q320" s="5"/>
    </row>
    <row r="321" spans="10:17" ht="12.75" x14ac:dyDescent="0.2">
      <c r="J321" s="5"/>
      <c r="K321" s="5"/>
      <c r="O321" s="5"/>
      <c r="P321" s="5"/>
      <c r="Q321" s="5"/>
    </row>
    <row r="322" spans="10:17" ht="12.75" x14ac:dyDescent="0.2">
      <c r="J322" s="5"/>
      <c r="K322" s="5"/>
      <c r="O322" s="5"/>
      <c r="P322" s="5"/>
      <c r="Q322" s="5"/>
    </row>
    <row r="323" spans="10:17" ht="12.75" x14ac:dyDescent="0.2">
      <c r="J323" s="5"/>
      <c r="K323" s="5"/>
      <c r="O323" s="5"/>
      <c r="P323" s="5"/>
      <c r="Q323" s="5"/>
    </row>
    <row r="324" spans="10:17" ht="12.75" x14ac:dyDescent="0.2">
      <c r="J324" s="5"/>
      <c r="K324" s="5"/>
      <c r="O324" s="5"/>
      <c r="P324" s="5"/>
      <c r="Q324" s="5"/>
    </row>
    <row r="325" spans="10:17" ht="12.75" x14ac:dyDescent="0.2">
      <c r="J325" s="5"/>
      <c r="K325" s="5"/>
      <c r="O325" s="5"/>
      <c r="P325" s="5"/>
      <c r="Q325" s="5"/>
    </row>
    <row r="326" spans="10:17" ht="12.75" x14ac:dyDescent="0.2">
      <c r="J326" s="5"/>
      <c r="K326" s="5"/>
      <c r="O326" s="5"/>
      <c r="P326" s="5"/>
      <c r="Q326" s="5"/>
    </row>
    <row r="327" spans="10:17" ht="12.75" x14ac:dyDescent="0.2">
      <c r="J327" s="5"/>
      <c r="K327" s="5"/>
      <c r="O327" s="5"/>
      <c r="P327" s="5"/>
      <c r="Q327" s="5"/>
    </row>
    <row r="328" spans="10:17" ht="12.75" x14ac:dyDescent="0.2">
      <c r="J328" s="5"/>
      <c r="K328" s="5"/>
      <c r="O328" s="5"/>
      <c r="P328" s="5"/>
      <c r="Q328" s="5"/>
    </row>
    <row r="329" spans="10:17" ht="12.75" x14ac:dyDescent="0.2">
      <c r="J329" s="5"/>
      <c r="K329" s="5"/>
      <c r="O329" s="5"/>
      <c r="P329" s="5"/>
      <c r="Q329" s="5"/>
    </row>
    <row r="330" spans="10:17" ht="12.75" x14ac:dyDescent="0.2">
      <c r="J330" s="5"/>
      <c r="K330" s="5"/>
      <c r="O330" s="5"/>
      <c r="P330" s="5"/>
      <c r="Q330" s="5"/>
    </row>
    <row r="331" spans="10:17" ht="12.75" x14ac:dyDescent="0.2">
      <c r="J331" s="5"/>
      <c r="K331" s="5"/>
      <c r="O331" s="5"/>
      <c r="P331" s="5"/>
      <c r="Q331" s="5"/>
    </row>
    <row r="332" spans="10:17" ht="12.75" x14ac:dyDescent="0.2">
      <c r="J332" s="5"/>
      <c r="K332" s="5"/>
      <c r="O332" s="5"/>
      <c r="P332" s="5"/>
      <c r="Q332" s="5"/>
    </row>
    <row r="333" spans="10:17" ht="12.75" x14ac:dyDescent="0.2">
      <c r="J333" s="5"/>
      <c r="K333" s="5"/>
      <c r="O333" s="5"/>
      <c r="P333" s="5"/>
      <c r="Q333" s="5"/>
    </row>
    <row r="334" spans="10:17" ht="12.75" x14ac:dyDescent="0.2">
      <c r="J334" s="5"/>
      <c r="K334" s="5"/>
      <c r="O334" s="5"/>
      <c r="P334" s="5"/>
      <c r="Q334" s="5"/>
    </row>
    <row r="335" spans="10:17" ht="12.75" x14ac:dyDescent="0.2">
      <c r="J335" s="5"/>
      <c r="K335" s="5"/>
      <c r="O335" s="5"/>
      <c r="P335" s="5"/>
      <c r="Q335" s="5"/>
    </row>
    <row r="336" spans="10:17" ht="12.75" x14ac:dyDescent="0.2">
      <c r="J336" s="5"/>
      <c r="K336" s="5"/>
      <c r="O336" s="5"/>
      <c r="P336" s="5"/>
      <c r="Q336" s="5"/>
    </row>
    <row r="337" spans="10:17" ht="12.75" x14ac:dyDescent="0.2">
      <c r="J337" s="5"/>
      <c r="K337" s="5"/>
      <c r="O337" s="5"/>
      <c r="P337" s="5"/>
      <c r="Q337" s="5"/>
    </row>
    <row r="338" spans="10:17" ht="12.75" x14ac:dyDescent="0.2">
      <c r="J338" s="5"/>
      <c r="K338" s="5"/>
      <c r="O338" s="5"/>
      <c r="P338" s="5"/>
      <c r="Q338" s="5"/>
    </row>
    <row r="339" spans="10:17" ht="12.75" x14ac:dyDescent="0.2">
      <c r="J339" s="5"/>
      <c r="K339" s="5"/>
      <c r="O339" s="5"/>
      <c r="P339" s="5"/>
      <c r="Q339" s="5"/>
    </row>
    <row r="340" spans="10:17" ht="12.75" x14ac:dyDescent="0.2">
      <c r="J340" s="5"/>
      <c r="K340" s="5"/>
      <c r="O340" s="5"/>
      <c r="P340" s="5"/>
      <c r="Q340" s="5"/>
    </row>
    <row r="341" spans="10:17" ht="12.75" x14ac:dyDescent="0.2">
      <c r="J341" s="5"/>
      <c r="K341" s="5"/>
      <c r="O341" s="5"/>
      <c r="P341" s="5"/>
      <c r="Q341" s="5"/>
    </row>
    <row r="342" spans="10:17" ht="12.75" x14ac:dyDescent="0.2">
      <c r="J342" s="5"/>
      <c r="K342" s="5"/>
      <c r="O342" s="5"/>
      <c r="P342" s="5"/>
      <c r="Q342" s="5"/>
    </row>
    <row r="343" spans="10:17" ht="12.75" x14ac:dyDescent="0.2">
      <c r="J343" s="5"/>
      <c r="K343" s="5"/>
      <c r="O343" s="5"/>
      <c r="P343" s="5"/>
      <c r="Q343" s="5"/>
    </row>
    <row r="344" spans="10:17" ht="12.75" x14ac:dyDescent="0.2">
      <c r="J344" s="5"/>
      <c r="K344" s="5"/>
      <c r="O344" s="5"/>
      <c r="P344" s="5"/>
      <c r="Q344" s="5"/>
    </row>
    <row r="345" spans="10:17" ht="12.75" x14ac:dyDescent="0.2">
      <c r="J345" s="5"/>
      <c r="K345" s="5"/>
      <c r="O345" s="5"/>
      <c r="P345" s="5"/>
      <c r="Q345" s="5"/>
    </row>
    <row r="346" spans="10:17" ht="12.75" x14ac:dyDescent="0.2">
      <c r="J346" s="5"/>
      <c r="K346" s="5"/>
      <c r="O346" s="5"/>
      <c r="P346" s="5"/>
      <c r="Q346" s="5"/>
    </row>
    <row r="347" spans="10:17" ht="12.75" x14ac:dyDescent="0.2">
      <c r="J347" s="5"/>
      <c r="K347" s="5"/>
      <c r="O347" s="5"/>
      <c r="P347" s="5"/>
      <c r="Q347" s="5"/>
    </row>
    <row r="348" spans="10:17" ht="12.75" x14ac:dyDescent="0.2">
      <c r="J348" s="5"/>
      <c r="K348" s="5"/>
      <c r="O348" s="5"/>
      <c r="P348" s="5"/>
      <c r="Q348" s="5"/>
    </row>
    <row r="349" spans="10:17" ht="12.75" x14ac:dyDescent="0.2">
      <c r="J349" s="5"/>
      <c r="K349" s="5"/>
      <c r="O349" s="5"/>
      <c r="P349" s="5"/>
      <c r="Q349" s="5"/>
    </row>
    <row r="350" spans="10:17" ht="12.75" x14ac:dyDescent="0.2">
      <c r="J350" s="5"/>
      <c r="K350" s="5"/>
      <c r="O350" s="5"/>
      <c r="P350" s="5"/>
      <c r="Q350" s="5"/>
    </row>
    <row r="351" spans="10:17" ht="12.75" x14ac:dyDescent="0.2">
      <c r="J351" s="5"/>
      <c r="K351" s="5"/>
      <c r="O351" s="5"/>
      <c r="P351" s="5"/>
      <c r="Q351" s="5"/>
    </row>
    <row r="352" spans="10:17" ht="12.75" x14ac:dyDescent="0.2">
      <c r="J352" s="5"/>
      <c r="K352" s="5"/>
      <c r="O352" s="5"/>
      <c r="P352" s="5"/>
      <c r="Q352" s="5"/>
    </row>
    <row r="353" spans="10:17" ht="12.75" x14ac:dyDescent="0.2">
      <c r="J353" s="5"/>
      <c r="K353" s="5"/>
      <c r="O353" s="5"/>
      <c r="P353" s="5"/>
      <c r="Q353" s="5"/>
    </row>
    <row r="354" spans="10:17" ht="12.75" x14ac:dyDescent="0.2">
      <c r="J354" s="5"/>
      <c r="K354" s="5"/>
      <c r="O354" s="5"/>
      <c r="P354" s="5"/>
      <c r="Q354" s="5"/>
    </row>
    <row r="355" spans="10:17" ht="12.75" x14ac:dyDescent="0.2">
      <c r="J355" s="5"/>
      <c r="K355" s="5"/>
      <c r="O355" s="5"/>
      <c r="P355" s="5"/>
      <c r="Q355" s="5"/>
    </row>
    <row r="356" spans="10:17" ht="12.75" x14ac:dyDescent="0.2">
      <c r="J356" s="5"/>
      <c r="K356" s="5"/>
      <c r="O356" s="5"/>
      <c r="P356" s="5"/>
      <c r="Q356" s="5"/>
    </row>
    <row r="357" spans="10:17" ht="12.75" x14ac:dyDescent="0.2">
      <c r="J357" s="5"/>
      <c r="K357" s="5"/>
      <c r="O357" s="5"/>
      <c r="P357" s="5"/>
      <c r="Q357" s="5"/>
    </row>
    <row r="358" spans="10:17" ht="12.75" x14ac:dyDescent="0.2">
      <c r="J358" s="5"/>
      <c r="K358" s="5"/>
      <c r="O358" s="5"/>
      <c r="P358" s="5"/>
      <c r="Q358" s="5"/>
    </row>
    <row r="359" spans="10:17" ht="12.75" x14ac:dyDescent="0.2">
      <c r="J359" s="5"/>
      <c r="K359" s="5"/>
      <c r="O359" s="5"/>
      <c r="P359" s="5"/>
      <c r="Q359" s="5"/>
    </row>
    <row r="360" spans="10:17" ht="12.75" x14ac:dyDescent="0.2">
      <c r="J360" s="5"/>
      <c r="K360" s="5"/>
      <c r="O360" s="5"/>
      <c r="P360" s="5"/>
      <c r="Q360" s="5"/>
    </row>
    <row r="361" spans="10:17" ht="12.75" x14ac:dyDescent="0.2">
      <c r="J361" s="5"/>
      <c r="K361" s="5"/>
      <c r="O361" s="5"/>
      <c r="P361" s="5"/>
      <c r="Q361" s="5"/>
    </row>
    <row r="362" spans="10:17" ht="12.75" x14ac:dyDescent="0.2">
      <c r="J362" s="5"/>
      <c r="K362" s="5"/>
      <c r="O362" s="5"/>
      <c r="P362" s="5"/>
      <c r="Q362" s="5"/>
    </row>
    <row r="363" spans="10:17" ht="12.75" x14ac:dyDescent="0.2">
      <c r="J363" s="5"/>
      <c r="K363" s="5"/>
      <c r="O363" s="5"/>
      <c r="P363" s="5"/>
      <c r="Q363" s="5"/>
    </row>
    <row r="364" spans="10:17" ht="12.75" x14ac:dyDescent="0.2">
      <c r="J364" s="5"/>
      <c r="K364" s="5"/>
      <c r="O364" s="5"/>
      <c r="P364" s="5"/>
      <c r="Q364" s="5"/>
    </row>
    <row r="365" spans="10:17" ht="12.75" x14ac:dyDescent="0.2">
      <c r="J365" s="5"/>
      <c r="K365" s="5"/>
      <c r="O365" s="5"/>
      <c r="P365" s="5"/>
      <c r="Q365" s="5"/>
    </row>
    <row r="366" spans="10:17" ht="12.75" x14ac:dyDescent="0.2">
      <c r="J366" s="5"/>
      <c r="K366" s="5"/>
      <c r="O366" s="5"/>
      <c r="P366" s="5"/>
      <c r="Q366" s="5"/>
    </row>
    <row r="367" spans="10:17" ht="12.75" x14ac:dyDescent="0.2">
      <c r="J367" s="5"/>
      <c r="K367" s="5"/>
      <c r="O367" s="5"/>
      <c r="P367" s="5"/>
      <c r="Q367" s="5"/>
    </row>
    <row r="368" spans="10:17" ht="12.75" x14ac:dyDescent="0.2">
      <c r="J368" s="5"/>
      <c r="K368" s="5"/>
      <c r="O368" s="5"/>
      <c r="P368" s="5"/>
      <c r="Q368" s="5"/>
    </row>
    <row r="369" spans="10:17" ht="12.75" x14ac:dyDescent="0.2">
      <c r="J369" s="5"/>
      <c r="K369" s="5"/>
      <c r="O369" s="5"/>
      <c r="P369" s="5"/>
      <c r="Q369" s="5"/>
    </row>
    <row r="370" spans="10:17" ht="12.75" x14ac:dyDescent="0.2">
      <c r="J370" s="5"/>
      <c r="K370" s="5"/>
      <c r="O370" s="5"/>
      <c r="P370" s="5"/>
      <c r="Q370" s="5"/>
    </row>
    <row r="371" spans="10:17" ht="12.75" x14ac:dyDescent="0.2">
      <c r="J371" s="5"/>
      <c r="K371" s="5"/>
      <c r="O371" s="5"/>
      <c r="P371" s="5"/>
      <c r="Q371" s="5"/>
    </row>
    <row r="372" spans="10:17" ht="12.75" x14ac:dyDescent="0.2">
      <c r="J372" s="5"/>
      <c r="K372" s="5"/>
      <c r="O372" s="5"/>
      <c r="P372" s="5"/>
      <c r="Q372" s="5"/>
    </row>
    <row r="373" spans="10:17" ht="12.75" x14ac:dyDescent="0.2">
      <c r="J373" s="5"/>
      <c r="K373" s="5"/>
      <c r="O373" s="5"/>
      <c r="P373" s="5"/>
      <c r="Q373" s="5"/>
    </row>
    <row r="374" spans="10:17" ht="12.75" x14ac:dyDescent="0.2">
      <c r="J374" s="5"/>
      <c r="K374" s="5"/>
      <c r="O374" s="5"/>
      <c r="P374" s="5"/>
      <c r="Q374" s="5"/>
    </row>
    <row r="375" spans="10:17" ht="12.75" x14ac:dyDescent="0.2">
      <c r="J375" s="5"/>
      <c r="K375" s="5"/>
      <c r="O375" s="5"/>
      <c r="P375" s="5"/>
      <c r="Q375" s="5"/>
    </row>
    <row r="376" spans="10:17" ht="12.75" x14ac:dyDescent="0.2">
      <c r="J376" s="5"/>
      <c r="K376" s="5"/>
      <c r="O376" s="5"/>
      <c r="P376" s="5"/>
      <c r="Q376" s="5"/>
    </row>
    <row r="377" spans="10:17" ht="12.75" x14ac:dyDescent="0.2">
      <c r="J377" s="5"/>
      <c r="K377" s="5"/>
      <c r="O377" s="5"/>
      <c r="P377" s="5"/>
      <c r="Q377" s="5"/>
    </row>
    <row r="378" spans="10:17" ht="12.75" x14ac:dyDescent="0.2">
      <c r="J378" s="5"/>
      <c r="K378" s="5"/>
      <c r="O378" s="5"/>
      <c r="P378" s="5"/>
      <c r="Q378" s="5"/>
    </row>
    <row r="379" spans="10:17" ht="12.75" x14ac:dyDescent="0.2">
      <c r="J379" s="5"/>
      <c r="K379" s="5"/>
      <c r="O379" s="5"/>
      <c r="P379" s="5"/>
      <c r="Q379" s="5"/>
    </row>
    <row r="380" spans="10:17" ht="12.75" x14ac:dyDescent="0.2">
      <c r="J380" s="5"/>
      <c r="K380" s="5"/>
      <c r="O380" s="5"/>
      <c r="P380" s="5"/>
      <c r="Q380" s="5"/>
    </row>
    <row r="381" spans="10:17" ht="12.75" x14ac:dyDescent="0.2">
      <c r="J381" s="5"/>
      <c r="K381" s="5"/>
      <c r="O381" s="5"/>
      <c r="P381" s="5"/>
      <c r="Q381" s="5"/>
    </row>
    <row r="382" spans="10:17" ht="12.75" x14ac:dyDescent="0.2">
      <c r="J382" s="5"/>
      <c r="K382" s="5"/>
      <c r="O382" s="5"/>
      <c r="P382" s="5"/>
      <c r="Q382" s="5"/>
    </row>
    <row r="383" spans="10:17" ht="12.75" x14ac:dyDescent="0.2">
      <c r="J383" s="5"/>
      <c r="K383" s="5"/>
      <c r="O383" s="5"/>
      <c r="P383" s="5"/>
      <c r="Q383" s="5"/>
    </row>
    <row r="384" spans="10:17" ht="12.75" x14ac:dyDescent="0.2">
      <c r="J384" s="5"/>
      <c r="K384" s="5"/>
      <c r="O384" s="5"/>
      <c r="P384" s="5"/>
      <c r="Q384" s="5"/>
    </row>
    <row r="385" spans="10:17" ht="12.75" x14ac:dyDescent="0.2">
      <c r="J385" s="5"/>
      <c r="K385" s="5"/>
      <c r="O385" s="5"/>
      <c r="P385" s="5"/>
      <c r="Q385" s="5"/>
    </row>
    <row r="386" spans="10:17" ht="12.75" x14ac:dyDescent="0.2">
      <c r="J386" s="5"/>
      <c r="K386" s="5"/>
      <c r="O386" s="5"/>
      <c r="P386" s="5"/>
      <c r="Q386" s="5"/>
    </row>
    <row r="387" spans="10:17" ht="12.75" x14ac:dyDescent="0.2">
      <c r="J387" s="5"/>
      <c r="K387" s="5"/>
      <c r="O387" s="5"/>
      <c r="P387" s="5"/>
      <c r="Q387" s="5"/>
    </row>
    <row r="388" spans="10:17" ht="12.75" x14ac:dyDescent="0.2">
      <c r="J388" s="5"/>
      <c r="K388" s="5"/>
      <c r="O388" s="5"/>
      <c r="P388" s="5"/>
      <c r="Q388" s="5"/>
    </row>
    <row r="389" spans="10:17" ht="12.75" x14ac:dyDescent="0.2">
      <c r="J389" s="5"/>
      <c r="K389" s="5"/>
      <c r="O389" s="5"/>
      <c r="P389" s="5"/>
      <c r="Q389" s="5"/>
    </row>
    <row r="390" spans="10:17" ht="12.75" x14ac:dyDescent="0.2">
      <c r="J390" s="5"/>
      <c r="K390" s="5"/>
      <c r="O390" s="5"/>
      <c r="P390" s="5"/>
      <c r="Q390" s="5"/>
    </row>
    <row r="391" spans="10:17" ht="12.75" x14ac:dyDescent="0.2">
      <c r="J391" s="5"/>
      <c r="K391" s="5"/>
      <c r="O391" s="5"/>
      <c r="P391" s="5"/>
      <c r="Q391" s="5"/>
    </row>
    <row r="392" spans="10:17" ht="12.75" x14ac:dyDescent="0.2">
      <c r="J392" s="5"/>
      <c r="K392" s="5"/>
      <c r="O392" s="5"/>
      <c r="P392" s="5"/>
      <c r="Q392" s="5"/>
    </row>
    <row r="393" spans="10:17" ht="12.75" x14ac:dyDescent="0.2">
      <c r="J393" s="5"/>
      <c r="K393" s="5"/>
      <c r="O393" s="5"/>
      <c r="P393" s="5"/>
      <c r="Q393" s="5"/>
    </row>
    <row r="394" spans="10:17" ht="12.75" x14ac:dyDescent="0.2">
      <c r="J394" s="5"/>
      <c r="K394" s="5"/>
      <c r="O394" s="5"/>
      <c r="P394" s="5"/>
      <c r="Q394" s="5"/>
    </row>
    <row r="395" spans="10:17" ht="12.75" x14ac:dyDescent="0.2">
      <c r="J395" s="5"/>
      <c r="K395" s="5"/>
      <c r="O395" s="5"/>
      <c r="P395" s="5"/>
      <c r="Q395" s="5"/>
    </row>
    <row r="396" spans="10:17" ht="12.75" x14ac:dyDescent="0.2">
      <c r="J396" s="5"/>
      <c r="K396" s="5"/>
      <c r="O396" s="5"/>
      <c r="P396" s="5"/>
      <c r="Q396" s="5"/>
    </row>
    <row r="397" spans="10:17" ht="12.75" x14ac:dyDescent="0.2">
      <c r="J397" s="5"/>
      <c r="K397" s="5"/>
      <c r="O397" s="5"/>
      <c r="P397" s="5"/>
      <c r="Q397" s="5"/>
    </row>
    <row r="398" spans="10:17" ht="12.75" x14ac:dyDescent="0.2">
      <c r="J398" s="5"/>
      <c r="K398" s="5"/>
      <c r="O398" s="5"/>
      <c r="P398" s="5"/>
      <c r="Q398" s="5"/>
    </row>
    <row r="399" spans="10:17" ht="12.75" x14ac:dyDescent="0.2">
      <c r="J399" s="5"/>
      <c r="K399" s="5"/>
      <c r="O399" s="5"/>
      <c r="P399" s="5"/>
      <c r="Q399" s="5"/>
    </row>
    <row r="400" spans="10:17" ht="12.75" x14ac:dyDescent="0.2">
      <c r="J400" s="5"/>
      <c r="K400" s="5"/>
      <c r="O400" s="5"/>
      <c r="P400" s="5"/>
      <c r="Q400" s="5"/>
    </row>
    <row r="401" spans="10:17" ht="12.75" x14ac:dyDescent="0.2">
      <c r="J401" s="5"/>
      <c r="K401" s="5"/>
      <c r="O401" s="5"/>
      <c r="P401" s="5"/>
      <c r="Q401" s="5"/>
    </row>
    <row r="402" spans="10:17" ht="12.75" x14ac:dyDescent="0.2">
      <c r="J402" s="5"/>
      <c r="K402" s="5"/>
      <c r="O402" s="5"/>
      <c r="P402" s="5"/>
      <c r="Q402" s="5"/>
    </row>
    <row r="403" spans="10:17" ht="12.75" x14ac:dyDescent="0.2">
      <c r="J403" s="5"/>
      <c r="K403" s="5"/>
      <c r="O403" s="5"/>
      <c r="P403" s="5"/>
      <c r="Q403" s="5"/>
    </row>
    <row r="404" spans="10:17" ht="12.75" x14ac:dyDescent="0.2">
      <c r="J404" s="5"/>
      <c r="K404" s="5"/>
      <c r="O404" s="5"/>
      <c r="P404" s="5"/>
      <c r="Q404" s="5"/>
    </row>
    <row r="405" spans="10:17" ht="12.75" x14ac:dyDescent="0.2">
      <c r="J405" s="5"/>
      <c r="K405" s="5"/>
      <c r="O405" s="5"/>
      <c r="P405" s="5"/>
      <c r="Q405" s="5"/>
    </row>
    <row r="406" spans="10:17" ht="12.75" x14ac:dyDescent="0.2">
      <c r="J406" s="5"/>
      <c r="K406" s="5"/>
      <c r="O406" s="5"/>
      <c r="P406" s="5"/>
      <c r="Q406" s="5"/>
    </row>
    <row r="407" spans="10:17" ht="12.75" x14ac:dyDescent="0.2">
      <c r="J407" s="5"/>
      <c r="K407" s="5"/>
      <c r="O407" s="5"/>
      <c r="P407" s="5"/>
      <c r="Q407" s="5"/>
    </row>
    <row r="408" spans="10:17" ht="12.75" x14ac:dyDescent="0.2">
      <c r="J408" s="5"/>
      <c r="K408" s="5"/>
      <c r="O408" s="5"/>
      <c r="P408" s="5"/>
      <c r="Q408" s="5"/>
    </row>
    <row r="409" spans="10:17" ht="12.75" x14ac:dyDescent="0.2">
      <c r="J409" s="5"/>
      <c r="K409" s="5"/>
      <c r="O409" s="5"/>
      <c r="P409" s="5"/>
      <c r="Q409" s="5"/>
    </row>
    <row r="410" spans="10:17" ht="12.75" x14ac:dyDescent="0.2">
      <c r="J410" s="5"/>
      <c r="K410" s="5"/>
      <c r="O410" s="5"/>
      <c r="P410" s="5"/>
      <c r="Q410" s="5"/>
    </row>
    <row r="411" spans="10:17" ht="12.75" x14ac:dyDescent="0.2">
      <c r="J411" s="5"/>
      <c r="K411" s="5"/>
      <c r="O411" s="5"/>
      <c r="P411" s="5"/>
      <c r="Q411" s="5"/>
    </row>
    <row r="412" spans="10:17" ht="12.75" x14ac:dyDescent="0.2">
      <c r="J412" s="5"/>
      <c r="K412" s="5"/>
      <c r="O412" s="5"/>
      <c r="P412" s="5"/>
      <c r="Q412" s="5"/>
    </row>
    <row r="413" spans="10:17" ht="12.75" x14ac:dyDescent="0.2">
      <c r="J413" s="5"/>
      <c r="K413" s="5"/>
      <c r="O413" s="5"/>
      <c r="P413" s="5"/>
      <c r="Q413" s="5"/>
    </row>
    <row r="414" spans="10:17" ht="12.75" x14ac:dyDescent="0.2">
      <c r="J414" s="5"/>
      <c r="K414" s="5"/>
      <c r="O414" s="5"/>
      <c r="P414" s="5"/>
      <c r="Q414" s="5"/>
    </row>
    <row r="415" spans="10:17" ht="12.75" x14ac:dyDescent="0.2">
      <c r="J415" s="5"/>
      <c r="K415" s="5"/>
      <c r="O415" s="5"/>
      <c r="P415" s="5"/>
      <c r="Q415" s="5"/>
    </row>
    <row r="416" spans="10:17" ht="12.75" x14ac:dyDescent="0.2">
      <c r="J416" s="5"/>
      <c r="K416" s="5"/>
      <c r="O416" s="5"/>
      <c r="P416" s="5"/>
      <c r="Q416" s="5"/>
    </row>
    <row r="417" spans="10:17" ht="12.75" x14ac:dyDescent="0.2">
      <c r="J417" s="5"/>
      <c r="K417" s="5"/>
      <c r="O417" s="5"/>
      <c r="P417" s="5"/>
      <c r="Q417" s="5"/>
    </row>
    <row r="418" spans="10:17" ht="12.75" x14ac:dyDescent="0.2">
      <c r="J418" s="5"/>
      <c r="K418" s="5"/>
      <c r="O418" s="5"/>
      <c r="P418" s="5"/>
      <c r="Q418" s="5"/>
    </row>
    <row r="419" spans="10:17" ht="12.75" x14ac:dyDescent="0.2">
      <c r="J419" s="5"/>
      <c r="K419" s="5"/>
      <c r="O419" s="5"/>
      <c r="P419" s="5"/>
      <c r="Q419" s="5"/>
    </row>
    <row r="420" spans="10:17" ht="12.75" x14ac:dyDescent="0.2">
      <c r="J420" s="5"/>
      <c r="K420" s="5"/>
      <c r="O420" s="5"/>
      <c r="P420" s="5"/>
      <c r="Q420" s="5"/>
    </row>
    <row r="421" spans="10:17" ht="12.75" x14ac:dyDescent="0.2">
      <c r="J421" s="5"/>
      <c r="K421" s="5"/>
      <c r="O421" s="5"/>
      <c r="P421" s="5"/>
      <c r="Q421" s="5"/>
    </row>
    <row r="422" spans="10:17" ht="12.75" x14ac:dyDescent="0.2">
      <c r="J422" s="5"/>
      <c r="K422" s="5"/>
      <c r="O422" s="5"/>
      <c r="P422" s="5"/>
      <c r="Q422" s="5"/>
    </row>
    <row r="423" spans="10:17" ht="12.75" x14ac:dyDescent="0.2">
      <c r="J423" s="5"/>
      <c r="K423" s="5"/>
      <c r="O423" s="5"/>
      <c r="P423" s="5"/>
      <c r="Q423" s="5"/>
    </row>
    <row r="424" spans="10:17" ht="12.75" x14ac:dyDescent="0.2">
      <c r="J424" s="5"/>
      <c r="K424" s="5"/>
      <c r="O424" s="5"/>
      <c r="P424" s="5"/>
      <c r="Q424" s="5"/>
    </row>
    <row r="425" spans="10:17" ht="12.75" x14ac:dyDescent="0.2">
      <c r="J425" s="5"/>
      <c r="K425" s="5"/>
      <c r="O425" s="5"/>
      <c r="P425" s="5"/>
      <c r="Q425" s="5"/>
    </row>
    <row r="426" spans="10:17" ht="12.75" x14ac:dyDescent="0.2">
      <c r="J426" s="5"/>
      <c r="K426" s="5"/>
      <c r="O426" s="5"/>
      <c r="P426" s="5"/>
      <c r="Q426" s="5"/>
    </row>
    <row r="427" spans="10:17" ht="12.75" x14ac:dyDescent="0.2">
      <c r="J427" s="5"/>
      <c r="K427" s="5"/>
      <c r="O427" s="5"/>
      <c r="P427" s="5"/>
      <c r="Q427" s="5"/>
    </row>
    <row r="428" spans="10:17" ht="12.75" x14ac:dyDescent="0.2">
      <c r="J428" s="5"/>
      <c r="K428" s="5"/>
      <c r="O428" s="5"/>
      <c r="P428" s="5"/>
      <c r="Q428" s="5"/>
    </row>
    <row r="429" spans="10:17" ht="12.75" x14ac:dyDescent="0.2">
      <c r="J429" s="5"/>
      <c r="K429" s="5"/>
      <c r="O429" s="5"/>
      <c r="P429" s="5"/>
      <c r="Q429" s="5"/>
    </row>
    <row r="430" spans="10:17" ht="12.75" x14ac:dyDescent="0.2">
      <c r="J430" s="5"/>
      <c r="K430" s="5"/>
      <c r="O430" s="5"/>
      <c r="P430" s="5"/>
      <c r="Q430" s="5"/>
    </row>
    <row r="431" spans="10:17" ht="12.75" x14ac:dyDescent="0.2">
      <c r="J431" s="5"/>
      <c r="K431" s="5"/>
      <c r="O431" s="5"/>
      <c r="P431" s="5"/>
      <c r="Q431" s="5"/>
    </row>
    <row r="432" spans="10:17" ht="12.75" x14ac:dyDescent="0.2">
      <c r="J432" s="5"/>
      <c r="K432" s="5"/>
      <c r="O432" s="5"/>
      <c r="P432" s="5"/>
      <c r="Q432" s="5"/>
    </row>
    <row r="433" spans="10:17" ht="12.75" x14ac:dyDescent="0.2">
      <c r="J433" s="5"/>
      <c r="K433" s="5"/>
      <c r="O433" s="5"/>
      <c r="P433" s="5"/>
      <c r="Q433" s="5"/>
    </row>
    <row r="434" spans="10:17" ht="12.75" x14ac:dyDescent="0.2">
      <c r="J434" s="5"/>
      <c r="K434" s="5"/>
      <c r="O434" s="5"/>
      <c r="P434" s="5"/>
      <c r="Q434" s="5"/>
    </row>
    <row r="435" spans="10:17" ht="12.75" x14ac:dyDescent="0.2">
      <c r="J435" s="5"/>
      <c r="K435" s="5"/>
      <c r="O435" s="5"/>
      <c r="P435" s="5"/>
      <c r="Q435" s="5"/>
    </row>
    <row r="436" spans="10:17" ht="12.75" x14ac:dyDescent="0.2">
      <c r="J436" s="5"/>
      <c r="K436" s="5"/>
      <c r="O436" s="5"/>
      <c r="P436" s="5"/>
      <c r="Q436" s="5"/>
    </row>
    <row r="437" spans="10:17" ht="12.75" x14ac:dyDescent="0.2">
      <c r="J437" s="5"/>
      <c r="K437" s="5"/>
      <c r="O437" s="5"/>
      <c r="P437" s="5"/>
      <c r="Q437" s="5"/>
    </row>
    <row r="438" spans="10:17" ht="12.75" x14ac:dyDescent="0.2">
      <c r="J438" s="5"/>
      <c r="K438" s="5"/>
      <c r="O438" s="5"/>
      <c r="P438" s="5"/>
      <c r="Q438" s="5"/>
    </row>
    <row r="439" spans="10:17" ht="12.75" x14ac:dyDescent="0.2">
      <c r="J439" s="5"/>
      <c r="K439" s="5"/>
      <c r="O439" s="5"/>
      <c r="P439" s="5"/>
      <c r="Q439" s="5"/>
    </row>
    <row r="440" spans="10:17" ht="12.75" x14ac:dyDescent="0.2">
      <c r="J440" s="5"/>
      <c r="K440" s="5"/>
      <c r="O440" s="5"/>
      <c r="P440" s="5"/>
      <c r="Q440" s="5"/>
    </row>
    <row r="441" spans="10:17" ht="12.75" x14ac:dyDescent="0.2">
      <c r="J441" s="5"/>
      <c r="K441" s="5"/>
      <c r="O441" s="5"/>
      <c r="P441" s="5"/>
      <c r="Q441" s="5"/>
    </row>
    <row r="442" spans="10:17" ht="12.75" x14ac:dyDescent="0.2">
      <c r="O442" s="5"/>
      <c r="P442" s="5"/>
      <c r="Q442" s="5"/>
    </row>
    <row r="443" spans="10:17" ht="12.75" x14ac:dyDescent="0.2">
      <c r="O443" s="5"/>
      <c r="P443" s="5"/>
      <c r="Q443" s="5"/>
    </row>
    <row r="444" spans="10:17" ht="12.75" x14ac:dyDescent="0.2">
      <c r="O444" s="5"/>
      <c r="P444" s="5"/>
      <c r="Q444" s="5"/>
    </row>
    <row r="445" spans="10:17" ht="12.75" x14ac:dyDescent="0.2">
      <c r="O445" s="5"/>
      <c r="P445" s="5"/>
      <c r="Q445" s="5"/>
    </row>
    <row r="446" spans="10:17" ht="12.75" x14ac:dyDescent="0.2">
      <c r="O446" s="5"/>
      <c r="P446" s="5"/>
      <c r="Q446" s="5"/>
    </row>
    <row r="447" spans="10:17" ht="12.75" x14ac:dyDescent="0.2">
      <c r="O447" s="5"/>
      <c r="P447" s="5"/>
      <c r="Q447" s="5"/>
    </row>
    <row r="448" spans="10:17" ht="12.75" x14ac:dyDescent="0.2">
      <c r="O448" s="5"/>
      <c r="P448" s="5"/>
      <c r="Q448" s="5"/>
    </row>
    <row r="449" spans="15:17" ht="12.75" x14ac:dyDescent="0.2">
      <c r="O449" s="5"/>
      <c r="P449" s="5"/>
      <c r="Q449" s="5"/>
    </row>
    <row r="450" spans="15:17" ht="12.75" x14ac:dyDescent="0.2">
      <c r="O450" s="5"/>
      <c r="P450" s="5"/>
      <c r="Q450" s="5"/>
    </row>
    <row r="451" spans="15:17" ht="12.75" x14ac:dyDescent="0.2">
      <c r="O451" s="5"/>
      <c r="P451" s="5"/>
      <c r="Q451" s="5"/>
    </row>
    <row r="452" spans="15:17" ht="12.75" x14ac:dyDescent="0.2">
      <c r="O452" s="5"/>
      <c r="P452" s="5"/>
      <c r="Q452" s="5"/>
    </row>
    <row r="453" spans="15:17" ht="12.75" x14ac:dyDescent="0.2">
      <c r="O453" s="5"/>
      <c r="P453" s="5"/>
      <c r="Q453" s="5"/>
    </row>
    <row r="454" spans="15:17" ht="12.75" x14ac:dyDescent="0.2">
      <c r="O454" s="5"/>
      <c r="P454" s="5"/>
      <c r="Q454" s="5"/>
    </row>
    <row r="455" spans="15:17" ht="12.75" x14ac:dyDescent="0.2">
      <c r="O455" s="5"/>
      <c r="P455" s="5"/>
      <c r="Q455" s="5"/>
    </row>
    <row r="456" spans="15:17" ht="12.75" x14ac:dyDescent="0.2">
      <c r="O456" s="5"/>
      <c r="P456" s="5"/>
      <c r="Q456" s="5"/>
    </row>
    <row r="457" spans="15:17" ht="12.75" x14ac:dyDescent="0.2">
      <c r="O457" s="5"/>
      <c r="P457" s="5"/>
      <c r="Q457" s="5"/>
    </row>
    <row r="458" spans="15:17" ht="12.75" x14ac:dyDescent="0.2">
      <c r="O458" s="5"/>
      <c r="P458" s="5"/>
      <c r="Q458" s="5"/>
    </row>
    <row r="459" spans="15:17" ht="12.75" x14ac:dyDescent="0.2">
      <c r="O459" s="5"/>
      <c r="P459" s="5"/>
      <c r="Q459" s="5"/>
    </row>
    <row r="460" spans="15:17" ht="12.75" x14ac:dyDescent="0.2">
      <c r="O460" s="5"/>
      <c r="P460" s="5"/>
      <c r="Q460" s="5"/>
    </row>
    <row r="461" spans="15:17" ht="12.75" x14ac:dyDescent="0.2">
      <c r="O461" s="5"/>
      <c r="P461" s="5"/>
      <c r="Q461" s="5"/>
    </row>
    <row r="462" spans="15:17" ht="12.75" x14ac:dyDescent="0.2">
      <c r="O462" s="5"/>
      <c r="P462" s="5"/>
      <c r="Q462" s="5"/>
    </row>
    <row r="463" spans="15:17" ht="12.75" x14ac:dyDescent="0.2">
      <c r="O463" s="5"/>
      <c r="P463" s="5"/>
      <c r="Q463" s="5"/>
    </row>
    <row r="464" spans="15:17" ht="12.75" x14ac:dyDescent="0.2">
      <c r="O464" s="5"/>
      <c r="P464" s="5"/>
      <c r="Q464" s="5"/>
    </row>
    <row r="465" spans="15:17" ht="12.75" x14ac:dyDescent="0.2">
      <c r="O465" s="5"/>
      <c r="P465" s="5"/>
      <c r="Q465" s="5"/>
    </row>
    <row r="466" spans="15:17" ht="12.75" x14ac:dyDescent="0.2">
      <c r="O466" s="5"/>
      <c r="P466" s="5"/>
      <c r="Q466" s="5"/>
    </row>
    <row r="467" spans="15:17" ht="12.75" x14ac:dyDescent="0.2">
      <c r="O467" s="5"/>
      <c r="P467" s="5"/>
      <c r="Q467" s="5"/>
    </row>
    <row r="468" spans="15:17" ht="12.75" x14ac:dyDescent="0.2">
      <c r="O468" s="5"/>
      <c r="P468" s="5"/>
      <c r="Q468" s="5"/>
    </row>
    <row r="469" spans="15:17" ht="12.75" x14ac:dyDescent="0.2">
      <c r="O469" s="5"/>
      <c r="P469" s="5"/>
      <c r="Q469" s="5"/>
    </row>
    <row r="470" spans="15:17" ht="12.75" x14ac:dyDescent="0.2">
      <c r="O470" s="5"/>
      <c r="P470" s="5"/>
      <c r="Q470" s="5"/>
    </row>
    <row r="471" spans="15:17" ht="12.75" x14ac:dyDescent="0.2">
      <c r="O471" s="5"/>
      <c r="P471" s="5"/>
      <c r="Q471" s="5"/>
    </row>
    <row r="472" spans="15:17" ht="12.75" x14ac:dyDescent="0.2">
      <c r="O472" s="5"/>
      <c r="P472" s="5"/>
      <c r="Q472" s="5"/>
    </row>
    <row r="473" spans="15:17" ht="12.75" x14ac:dyDescent="0.2">
      <c r="O473" s="5"/>
      <c r="P473" s="5"/>
      <c r="Q473" s="5"/>
    </row>
    <row r="474" spans="15:17" ht="12.75" x14ac:dyDescent="0.2">
      <c r="O474" s="5"/>
      <c r="P474" s="5"/>
      <c r="Q474" s="5"/>
    </row>
    <row r="475" spans="15:17" ht="12.75" x14ac:dyDescent="0.2">
      <c r="O475" s="5"/>
      <c r="P475" s="5"/>
      <c r="Q475" s="5"/>
    </row>
    <row r="476" spans="15:17" ht="12.75" x14ac:dyDescent="0.2">
      <c r="O476" s="5"/>
      <c r="P476" s="5"/>
      <c r="Q476" s="5"/>
    </row>
    <row r="477" spans="15:17" ht="12.75" x14ac:dyDescent="0.2">
      <c r="O477" s="5"/>
      <c r="P477" s="5"/>
      <c r="Q477" s="5"/>
    </row>
    <row r="478" spans="15:17" ht="12.75" x14ac:dyDescent="0.2">
      <c r="O478" s="5"/>
      <c r="P478" s="5"/>
      <c r="Q478" s="5"/>
    </row>
    <row r="479" spans="15:17" ht="12.75" x14ac:dyDescent="0.2">
      <c r="O479" s="5"/>
      <c r="P479" s="5"/>
      <c r="Q479" s="5"/>
    </row>
    <row r="480" spans="15:17" ht="12.75" x14ac:dyDescent="0.2">
      <c r="O480" s="5"/>
      <c r="P480" s="5"/>
      <c r="Q480" s="5"/>
    </row>
    <row r="481" spans="15:17" ht="12.75" x14ac:dyDescent="0.2">
      <c r="O481" s="5"/>
      <c r="P481" s="5"/>
      <c r="Q481" s="5"/>
    </row>
    <row r="482" spans="15:17" ht="12.75" x14ac:dyDescent="0.2">
      <c r="O482" s="5"/>
      <c r="P482" s="5"/>
      <c r="Q482" s="5"/>
    </row>
    <row r="483" spans="15:17" ht="12.75" x14ac:dyDescent="0.2">
      <c r="O483" s="5"/>
      <c r="P483" s="5"/>
      <c r="Q483" s="5"/>
    </row>
    <row r="484" spans="15:17" ht="12.75" x14ac:dyDescent="0.2">
      <c r="O484" s="5"/>
      <c r="P484" s="5"/>
      <c r="Q484" s="5"/>
    </row>
    <row r="485" spans="15:17" ht="12.75" x14ac:dyDescent="0.2">
      <c r="O485" s="5"/>
      <c r="P485" s="5"/>
      <c r="Q485" s="5"/>
    </row>
    <row r="486" spans="15:17" ht="12.75" x14ac:dyDescent="0.2">
      <c r="O486" s="5"/>
      <c r="P486" s="5"/>
      <c r="Q486" s="5"/>
    </row>
    <row r="487" spans="15:17" ht="12.75" x14ac:dyDescent="0.2">
      <c r="O487" s="5"/>
      <c r="P487" s="5"/>
      <c r="Q487" s="5"/>
    </row>
    <row r="488" spans="15:17" ht="12.75" x14ac:dyDescent="0.2">
      <c r="O488" s="5"/>
      <c r="P488" s="5"/>
      <c r="Q488" s="5"/>
    </row>
    <row r="489" spans="15:17" ht="12.75" x14ac:dyDescent="0.2">
      <c r="O489" s="5"/>
      <c r="P489" s="5"/>
      <c r="Q489" s="5"/>
    </row>
    <row r="490" spans="15:17" ht="12.75" x14ac:dyDescent="0.2">
      <c r="O490" s="5"/>
      <c r="P490" s="5"/>
      <c r="Q490" s="5"/>
    </row>
    <row r="491" spans="15:17" ht="12.75" x14ac:dyDescent="0.2">
      <c r="O491" s="5"/>
      <c r="P491" s="5"/>
      <c r="Q491" s="5"/>
    </row>
    <row r="492" spans="15:17" ht="12.75" x14ac:dyDescent="0.2">
      <c r="O492" s="5"/>
      <c r="P492" s="5"/>
      <c r="Q492" s="5"/>
    </row>
    <row r="493" spans="15:17" ht="12.75" x14ac:dyDescent="0.2">
      <c r="O493" s="5"/>
      <c r="P493" s="5"/>
      <c r="Q493" s="5"/>
    </row>
    <row r="494" spans="15:17" ht="12.75" x14ac:dyDescent="0.2">
      <c r="O494" s="5"/>
      <c r="P494" s="5"/>
      <c r="Q494" s="5"/>
    </row>
    <row r="495" spans="15:17" ht="12.75" x14ac:dyDescent="0.2">
      <c r="O495" s="5"/>
      <c r="P495" s="5"/>
      <c r="Q495" s="5"/>
    </row>
    <row r="496" spans="15:17" ht="12.75" x14ac:dyDescent="0.2">
      <c r="O496" s="5"/>
      <c r="P496" s="5"/>
      <c r="Q496" s="5"/>
    </row>
    <row r="497" spans="15:17" ht="12.75" x14ac:dyDescent="0.2">
      <c r="O497" s="5"/>
      <c r="P497" s="5"/>
      <c r="Q497" s="5"/>
    </row>
    <row r="498" spans="15:17" ht="12.75" x14ac:dyDescent="0.2">
      <c r="O498" s="5"/>
      <c r="P498" s="5"/>
      <c r="Q498" s="5"/>
    </row>
    <row r="499" spans="15:17" ht="12.75" x14ac:dyDescent="0.2">
      <c r="O499" s="5"/>
      <c r="P499" s="5"/>
      <c r="Q499" s="5"/>
    </row>
    <row r="500" spans="15:17" ht="12.75" x14ac:dyDescent="0.2">
      <c r="O500" s="5"/>
      <c r="P500" s="5"/>
      <c r="Q500" s="5"/>
    </row>
    <row r="501" spans="15:17" ht="12.75" x14ac:dyDescent="0.2">
      <c r="O501" s="5"/>
      <c r="P501" s="5"/>
      <c r="Q501" s="5"/>
    </row>
    <row r="502" spans="15:17" ht="12.75" x14ac:dyDescent="0.2">
      <c r="O502" s="5"/>
      <c r="P502" s="5"/>
      <c r="Q502" s="5"/>
    </row>
    <row r="503" spans="15:17" ht="12.75" x14ac:dyDescent="0.2">
      <c r="O503" s="5"/>
      <c r="P503" s="5"/>
      <c r="Q503" s="5"/>
    </row>
    <row r="504" spans="15:17" ht="12.75" x14ac:dyDescent="0.2">
      <c r="O504" s="5"/>
      <c r="P504" s="5"/>
      <c r="Q504" s="5"/>
    </row>
    <row r="505" spans="15:17" ht="12.75" x14ac:dyDescent="0.2">
      <c r="O505" s="5"/>
      <c r="P505" s="5"/>
      <c r="Q505" s="5"/>
    </row>
    <row r="506" spans="15:17" ht="12.75" x14ac:dyDescent="0.2">
      <c r="O506" s="5"/>
      <c r="P506" s="5"/>
      <c r="Q506" s="5"/>
    </row>
    <row r="507" spans="15:17" ht="12.75" x14ac:dyDescent="0.2">
      <c r="O507" s="5"/>
      <c r="P507" s="5"/>
      <c r="Q507" s="5"/>
    </row>
    <row r="508" spans="15:17" ht="12.75" x14ac:dyDescent="0.2">
      <c r="O508" s="5"/>
      <c r="P508" s="5"/>
      <c r="Q508" s="5"/>
    </row>
    <row r="509" spans="15:17" ht="12.75" x14ac:dyDescent="0.2">
      <c r="O509" s="5"/>
      <c r="P509" s="5"/>
      <c r="Q509" s="5"/>
    </row>
    <row r="510" spans="15:17" ht="12.75" x14ac:dyDescent="0.2">
      <c r="O510" s="5"/>
      <c r="P510" s="5"/>
      <c r="Q510" s="5"/>
    </row>
    <row r="511" spans="15:17" ht="12.75" x14ac:dyDescent="0.2">
      <c r="O511" s="5"/>
      <c r="P511" s="5"/>
      <c r="Q511" s="5"/>
    </row>
    <row r="512" spans="15:17" ht="12.75" x14ac:dyDescent="0.2">
      <c r="O512" s="5"/>
      <c r="P512" s="5"/>
      <c r="Q512" s="5"/>
    </row>
    <row r="513" spans="15:17" ht="12.75" x14ac:dyDescent="0.2">
      <c r="O513" s="5"/>
      <c r="P513" s="5"/>
      <c r="Q513" s="5"/>
    </row>
    <row r="514" spans="15:17" ht="12.75" x14ac:dyDescent="0.2">
      <c r="O514" s="5"/>
      <c r="P514" s="5"/>
      <c r="Q514" s="5"/>
    </row>
    <row r="515" spans="15:17" ht="12.75" x14ac:dyDescent="0.2">
      <c r="O515" s="5"/>
      <c r="P515" s="5"/>
      <c r="Q515" s="5"/>
    </row>
    <row r="516" spans="15:17" ht="12.75" x14ac:dyDescent="0.2">
      <c r="O516" s="5"/>
      <c r="P516" s="5"/>
      <c r="Q516" s="5"/>
    </row>
    <row r="517" spans="15:17" ht="12.75" x14ac:dyDescent="0.2">
      <c r="O517" s="5"/>
      <c r="P517" s="5"/>
      <c r="Q517" s="5"/>
    </row>
    <row r="518" spans="15:17" ht="12.75" x14ac:dyDescent="0.2">
      <c r="O518" s="5"/>
      <c r="P518" s="5"/>
      <c r="Q518" s="5"/>
    </row>
    <row r="519" spans="15:17" ht="12.75" x14ac:dyDescent="0.2">
      <c r="O519" s="5"/>
      <c r="P519" s="5"/>
      <c r="Q519" s="5"/>
    </row>
    <row r="520" spans="15:17" ht="12.75" x14ac:dyDescent="0.2">
      <c r="O520" s="5"/>
      <c r="P520" s="5"/>
      <c r="Q520" s="5"/>
    </row>
    <row r="521" spans="15:17" ht="12.75" x14ac:dyDescent="0.2">
      <c r="O521" s="5"/>
      <c r="P521" s="5"/>
      <c r="Q521" s="5"/>
    </row>
    <row r="522" spans="15:17" ht="12.75" x14ac:dyDescent="0.2">
      <c r="O522" s="5"/>
      <c r="P522" s="5"/>
      <c r="Q522" s="5"/>
    </row>
    <row r="523" spans="15:17" ht="12.75" x14ac:dyDescent="0.2">
      <c r="O523" s="5"/>
      <c r="P523" s="5"/>
      <c r="Q523" s="5"/>
    </row>
    <row r="524" spans="15:17" ht="12.75" x14ac:dyDescent="0.2">
      <c r="O524" s="5"/>
      <c r="P524" s="5"/>
      <c r="Q524" s="5"/>
    </row>
    <row r="525" spans="15:17" ht="12.75" x14ac:dyDescent="0.2">
      <c r="O525" s="5"/>
      <c r="P525" s="5"/>
      <c r="Q525" s="5"/>
    </row>
    <row r="526" spans="15:17" ht="12.75" x14ac:dyDescent="0.2">
      <c r="O526" s="5"/>
      <c r="P526" s="5"/>
      <c r="Q526" s="5"/>
    </row>
    <row r="527" spans="15:17" ht="12.75" x14ac:dyDescent="0.2">
      <c r="O527" s="5"/>
      <c r="P527" s="5"/>
      <c r="Q527" s="5"/>
    </row>
    <row r="528" spans="15:17" ht="12.75" x14ac:dyDescent="0.2">
      <c r="O528" s="5"/>
      <c r="P528" s="5"/>
      <c r="Q528" s="5"/>
    </row>
    <row r="529" spans="15:17" ht="12.75" x14ac:dyDescent="0.2">
      <c r="O529" s="5"/>
      <c r="P529" s="5"/>
      <c r="Q529" s="5"/>
    </row>
    <row r="530" spans="15:17" ht="12.75" x14ac:dyDescent="0.2">
      <c r="O530" s="5"/>
      <c r="P530" s="5"/>
      <c r="Q530" s="5"/>
    </row>
    <row r="531" spans="15:17" ht="12.75" x14ac:dyDescent="0.2">
      <c r="O531" s="5"/>
      <c r="P531" s="5"/>
      <c r="Q531" s="5"/>
    </row>
    <row r="532" spans="15:17" ht="12.75" x14ac:dyDescent="0.2">
      <c r="O532" s="5"/>
      <c r="P532" s="5"/>
      <c r="Q532" s="5"/>
    </row>
    <row r="533" spans="15:17" ht="12.75" x14ac:dyDescent="0.2">
      <c r="O533" s="5"/>
      <c r="P533" s="5"/>
      <c r="Q533" s="5"/>
    </row>
    <row r="534" spans="15:17" ht="12.75" x14ac:dyDescent="0.2">
      <c r="O534" s="5"/>
      <c r="P534" s="5"/>
      <c r="Q534" s="5"/>
    </row>
    <row r="535" spans="15:17" ht="12.75" x14ac:dyDescent="0.2">
      <c r="O535" s="5"/>
      <c r="P535" s="5"/>
      <c r="Q535" s="5"/>
    </row>
    <row r="536" spans="15:17" ht="12.75" x14ac:dyDescent="0.2">
      <c r="O536" s="5"/>
      <c r="P536" s="5"/>
      <c r="Q536" s="5"/>
    </row>
    <row r="537" spans="15:17" ht="12.75" x14ac:dyDescent="0.2">
      <c r="O537" s="5"/>
      <c r="P537" s="5"/>
      <c r="Q537" s="5"/>
    </row>
    <row r="538" spans="15:17" ht="12.75" x14ac:dyDescent="0.2">
      <c r="O538" s="5"/>
      <c r="P538" s="5"/>
      <c r="Q538" s="5"/>
    </row>
    <row r="539" spans="15:17" ht="12.75" x14ac:dyDescent="0.2">
      <c r="O539" s="5"/>
      <c r="P539" s="5"/>
      <c r="Q539" s="5"/>
    </row>
    <row r="540" spans="15:17" ht="12.75" x14ac:dyDescent="0.2">
      <c r="O540" s="5"/>
      <c r="P540" s="5"/>
      <c r="Q540" s="5"/>
    </row>
    <row r="541" spans="15:17" ht="12.75" x14ac:dyDescent="0.2">
      <c r="O541" s="5"/>
      <c r="P541" s="5"/>
      <c r="Q541" s="5"/>
    </row>
    <row r="542" spans="15:17" ht="12.75" x14ac:dyDescent="0.2">
      <c r="O542" s="5"/>
      <c r="P542" s="5"/>
      <c r="Q542" s="5"/>
    </row>
    <row r="543" spans="15:17" ht="12.75" x14ac:dyDescent="0.2">
      <c r="O543" s="5"/>
      <c r="P543" s="5"/>
      <c r="Q543" s="5"/>
    </row>
    <row r="544" spans="15:17" ht="12.75" x14ac:dyDescent="0.2">
      <c r="O544" s="5"/>
      <c r="P544" s="5"/>
      <c r="Q544" s="5"/>
    </row>
    <row r="545" spans="15:17" ht="12.75" x14ac:dyDescent="0.2">
      <c r="O545" s="5"/>
      <c r="P545" s="5"/>
      <c r="Q545" s="5"/>
    </row>
    <row r="546" spans="15:17" ht="12.75" x14ac:dyDescent="0.2">
      <c r="O546" s="5"/>
      <c r="P546" s="5"/>
      <c r="Q546" s="5"/>
    </row>
    <row r="547" spans="15:17" ht="12.75" x14ac:dyDescent="0.2">
      <c r="O547" s="5"/>
      <c r="P547" s="5"/>
      <c r="Q547" s="5"/>
    </row>
    <row r="548" spans="15:17" ht="12.75" x14ac:dyDescent="0.2">
      <c r="O548" s="5"/>
      <c r="P548" s="5"/>
      <c r="Q548" s="5"/>
    </row>
    <row r="549" spans="15:17" ht="12.75" x14ac:dyDescent="0.2">
      <c r="O549" s="5"/>
      <c r="P549" s="5"/>
      <c r="Q549" s="5"/>
    </row>
    <row r="550" spans="15:17" ht="12.75" x14ac:dyDescent="0.2">
      <c r="O550" s="5"/>
      <c r="P550" s="5"/>
      <c r="Q550" s="5"/>
    </row>
    <row r="551" spans="15:17" ht="12.75" x14ac:dyDescent="0.2">
      <c r="O551" s="5"/>
      <c r="P551" s="5"/>
      <c r="Q551" s="5"/>
    </row>
    <row r="552" spans="15:17" ht="12.75" x14ac:dyDescent="0.2">
      <c r="O552" s="5"/>
      <c r="P552" s="5"/>
      <c r="Q552" s="5"/>
    </row>
    <row r="553" spans="15:17" ht="12.75" x14ac:dyDescent="0.2">
      <c r="O553" s="5"/>
      <c r="P553" s="5"/>
      <c r="Q553" s="5"/>
    </row>
    <row r="554" spans="15:17" ht="12.75" x14ac:dyDescent="0.2">
      <c r="O554" s="5"/>
      <c r="P554" s="5"/>
      <c r="Q554" s="5"/>
    </row>
    <row r="555" spans="15:17" ht="12.75" x14ac:dyDescent="0.2">
      <c r="O555" s="5"/>
      <c r="P555" s="5"/>
      <c r="Q555" s="5"/>
    </row>
    <row r="556" spans="15:17" ht="12.75" x14ac:dyDescent="0.2">
      <c r="O556" s="5"/>
      <c r="P556" s="5"/>
      <c r="Q556" s="5"/>
    </row>
    <row r="557" spans="15:17" ht="12.75" x14ac:dyDescent="0.2">
      <c r="O557" s="5"/>
      <c r="P557" s="5"/>
      <c r="Q557" s="5"/>
    </row>
    <row r="558" spans="15:17" ht="12.75" x14ac:dyDescent="0.2">
      <c r="O558" s="5"/>
      <c r="P558" s="5"/>
      <c r="Q558" s="5"/>
    </row>
    <row r="559" spans="15:17" ht="12.75" x14ac:dyDescent="0.2">
      <c r="O559" s="5"/>
      <c r="P559" s="5"/>
      <c r="Q559" s="5"/>
    </row>
    <row r="560" spans="15:17" ht="12.75" x14ac:dyDescent="0.2">
      <c r="O560" s="5"/>
      <c r="P560" s="5"/>
      <c r="Q560" s="5"/>
    </row>
    <row r="561" spans="15:17" ht="12.75" x14ac:dyDescent="0.2">
      <c r="O561" s="5"/>
      <c r="P561" s="5"/>
      <c r="Q561" s="5"/>
    </row>
    <row r="562" spans="15:17" ht="12.75" x14ac:dyDescent="0.2">
      <c r="O562" s="5"/>
      <c r="P562" s="5"/>
      <c r="Q562" s="5"/>
    </row>
    <row r="563" spans="15:17" ht="12.75" x14ac:dyDescent="0.2">
      <c r="O563" s="5"/>
      <c r="P563" s="5"/>
      <c r="Q563" s="5"/>
    </row>
    <row r="564" spans="15:17" ht="12.75" x14ac:dyDescent="0.2">
      <c r="O564" s="5"/>
      <c r="P564" s="5"/>
      <c r="Q564" s="5"/>
    </row>
    <row r="565" spans="15:17" ht="12.75" x14ac:dyDescent="0.2">
      <c r="O565" s="5"/>
      <c r="P565" s="5"/>
      <c r="Q565" s="5"/>
    </row>
    <row r="566" spans="15:17" ht="12.75" x14ac:dyDescent="0.2">
      <c r="O566" s="5"/>
      <c r="P566" s="5"/>
      <c r="Q566" s="5"/>
    </row>
    <row r="567" spans="15:17" ht="12.75" x14ac:dyDescent="0.2">
      <c r="O567" s="5"/>
      <c r="P567" s="5"/>
      <c r="Q567" s="5"/>
    </row>
    <row r="568" spans="15:17" ht="12.75" x14ac:dyDescent="0.2">
      <c r="O568" s="5"/>
      <c r="P568" s="5"/>
      <c r="Q568" s="5"/>
    </row>
    <row r="569" spans="15:17" ht="12.75" x14ac:dyDescent="0.2">
      <c r="O569" s="5"/>
      <c r="P569" s="5"/>
      <c r="Q569" s="5"/>
    </row>
    <row r="570" spans="15:17" ht="12.75" x14ac:dyDescent="0.2">
      <c r="O570" s="5"/>
      <c r="P570" s="5"/>
      <c r="Q570" s="5"/>
    </row>
    <row r="571" spans="15:17" ht="12.75" x14ac:dyDescent="0.2">
      <c r="O571" s="5"/>
      <c r="P571" s="5"/>
      <c r="Q571" s="5"/>
    </row>
    <row r="572" spans="15:17" ht="12.75" x14ac:dyDescent="0.2">
      <c r="O572" s="5"/>
      <c r="P572" s="5"/>
      <c r="Q572" s="5"/>
    </row>
    <row r="573" spans="15:17" ht="12.75" x14ac:dyDescent="0.2">
      <c r="O573" s="5"/>
      <c r="P573" s="5"/>
      <c r="Q573" s="5"/>
    </row>
    <row r="574" spans="15:17" ht="12.75" x14ac:dyDescent="0.2">
      <c r="O574" s="5"/>
      <c r="P574" s="5"/>
      <c r="Q574" s="5"/>
    </row>
    <row r="575" spans="15:17" ht="12.75" x14ac:dyDescent="0.2">
      <c r="O575" s="5"/>
      <c r="P575" s="5"/>
      <c r="Q575" s="5"/>
    </row>
    <row r="576" spans="15:17" ht="12.75" x14ac:dyDescent="0.2">
      <c r="O576" s="5"/>
      <c r="P576" s="5"/>
      <c r="Q576" s="5"/>
    </row>
    <row r="577" spans="15:17" ht="12.75" x14ac:dyDescent="0.2">
      <c r="O577" s="5"/>
      <c r="P577" s="5"/>
      <c r="Q577" s="5"/>
    </row>
    <row r="578" spans="15:17" ht="12.75" x14ac:dyDescent="0.2">
      <c r="O578" s="5"/>
      <c r="P578" s="5"/>
      <c r="Q578" s="5"/>
    </row>
    <row r="579" spans="15:17" ht="12.75" x14ac:dyDescent="0.2">
      <c r="O579" s="5"/>
      <c r="P579" s="5"/>
      <c r="Q579" s="5"/>
    </row>
    <row r="580" spans="15:17" ht="12.75" x14ac:dyDescent="0.2">
      <c r="O580" s="5"/>
      <c r="P580" s="5"/>
      <c r="Q580" s="5"/>
    </row>
    <row r="581" spans="15:17" ht="12.75" x14ac:dyDescent="0.2">
      <c r="O581" s="5"/>
      <c r="P581" s="5"/>
      <c r="Q581" s="5"/>
    </row>
    <row r="582" spans="15:17" ht="12.75" x14ac:dyDescent="0.2">
      <c r="O582" s="5"/>
      <c r="P582" s="5"/>
      <c r="Q582" s="5"/>
    </row>
    <row r="583" spans="15:17" ht="12.75" x14ac:dyDescent="0.2">
      <c r="O583" s="5"/>
      <c r="P583" s="5"/>
      <c r="Q583" s="5"/>
    </row>
    <row r="584" spans="15:17" ht="12.75" x14ac:dyDescent="0.2">
      <c r="O584" s="5"/>
      <c r="P584" s="5"/>
      <c r="Q584" s="5"/>
    </row>
    <row r="585" spans="15:17" ht="12.75" x14ac:dyDescent="0.2">
      <c r="O585" s="5"/>
      <c r="P585" s="5"/>
      <c r="Q585" s="5"/>
    </row>
    <row r="586" spans="15:17" ht="12.75" x14ac:dyDescent="0.2">
      <c r="O586" s="5"/>
      <c r="P586" s="5"/>
      <c r="Q586" s="5"/>
    </row>
    <row r="587" spans="15:17" ht="12.75" x14ac:dyDescent="0.2">
      <c r="O587" s="5"/>
      <c r="P587" s="5"/>
      <c r="Q587" s="5"/>
    </row>
    <row r="588" spans="15:17" ht="12.75" x14ac:dyDescent="0.2">
      <c r="O588" s="5"/>
      <c r="P588" s="5"/>
      <c r="Q588" s="5"/>
    </row>
    <row r="589" spans="15:17" ht="12.75" x14ac:dyDescent="0.2">
      <c r="O589" s="5"/>
      <c r="P589" s="5"/>
      <c r="Q589" s="5"/>
    </row>
    <row r="590" spans="15:17" ht="12.75" x14ac:dyDescent="0.2">
      <c r="O590" s="5"/>
      <c r="P590" s="5"/>
      <c r="Q590" s="5"/>
    </row>
    <row r="591" spans="15:17" ht="12.75" x14ac:dyDescent="0.2">
      <c r="O591" s="5"/>
      <c r="P591" s="5"/>
      <c r="Q591" s="5"/>
    </row>
    <row r="592" spans="15:17" ht="12.75" x14ac:dyDescent="0.2">
      <c r="O592" s="5"/>
      <c r="P592" s="5"/>
      <c r="Q592" s="5"/>
    </row>
    <row r="593" spans="15:17" ht="12.75" x14ac:dyDescent="0.2">
      <c r="O593" s="5"/>
      <c r="P593" s="5"/>
      <c r="Q593" s="5"/>
    </row>
    <row r="594" spans="15:17" ht="12.75" x14ac:dyDescent="0.2">
      <c r="O594" s="5"/>
      <c r="P594" s="5"/>
      <c r="Q594" s="5"/>
    </row>
    <row r="595" spans="15:17" ht="12.75" x14ac:dyDescent="0.2">
      <c r="O595" s="5"/>
      <c r="P595" s="5"/>
      <c r="Q595" s="5"/>
    </row>
    <row r="596" spans="15:17" ht="12.75" x14ac:dyDescent="0.2">
      <c r="O596" s="5"/>
      <c r="P596" s="5"/>
      <c r="Q596" s="5"/>
    </row>
    <row r="597" spans="15:17" ht="12.75" x14ac:dyDescent="0.2">
      <c r="O597" s="5"/>
      <c r="P597" s="5"/>
      <c r="Q597" s="5"/>
    </row>
    <row r="598" spans="15:17" ht="12.75" x14ac:dyDescent="0.2">
      <c r="O598" s="5"/>
      <c r="P598" s="5"/>
      <c r="Q598" s="5"/>
    </row>
    <row r="599" spans="15:17" ht="12.75" x14ac:dyDescent="0.2">
      <c r="O599" s="5"/>
      <c r="P599" s="5"/>
      <c r="Q599" s="5"/>
    </row>
    <row r="600" spans="15:17" ht="12.75" x14ac:dyDescent="0.2">
      <c r="O600" s="5"/>
      <c r="P600" s="5"/>
      <c r="Q600" s="5"/>
    </row>
    <row r="601" spans="15:17" ht="12.75" x14ac:dyDescent="0.2">
      <c r="O601" s="5"/>
      <c r="P601" s="5"/>
      <c r="Q601" s="5"/>
    </row>
    <row r="602" spans="15:17" ht="12.75" x14ac:dyDescent="0.2">
      <c r="O602" s="5"/>
      <c r="P602" s="5"/>
      <c r="Q602" s="5"/>
    </row>
    <row r="603" spans="15:17" ht="12.75" x14ac:dyDescent="0.2">
      <c r="O603" s="5"/>
      <c r="P603" s="5"/>
      <c r="Q603" s="5"/>
    </row>
    <row r="604" spans="15:17" ht="12.75" x14ac:dyDescent="0.2">
      <c r="O604" s="5"/>
      <c r="P604" s="5"/>
      <c r="Q604" s="5"/>
    </row>
    <row r="605" spans="15:17" ht="12.75" x14ac:dyDescent="0.2">
      <c r="O605" s="5"/>
      <c r="P605" s="5"/>
      <c r="Q605" s="5"/>
    </row>
    <row r="606" spans="15:17" ht="12.75" x14ac:dyDescent="0.2">
      <c r="O606" s="5"/>
      <c r="P606" s="5"/>
      <c r="Q606" s="5"/>
    </row>
    <row r="607" spans="15:17" ht="12.75" x14ac:dyDescent="0.2">
      <c r="O607" s="5"/>
      <c r="P607" s="5"/>
      <c r="Q607" s="5"/>
    </row>
    <row r="608" spans="15:17" ht="12.75" x14ac:dyDescent="0.2">
      <c r="O608" s="5"/>
      <c r="P608" s="5"/>
      <c r="Q608" s="5"/>
    </row>
    <row r="609" spans="15:17" ht="12.75" x14ac:dyDescent="0.2">
      <c r="O609" s="5"/>
      <c r="P609" s="5"/>
      <c r="Q609" s="5"/>
    </row>
    <row r="610" spans="15:17" ht="12.75" x14ac:dyDescent="0.2">
      <c r="O610" s="5"/>
      <c r="P610" s="5"/>
      <c r="Q610" s="5"/>
    </row>
    <row r="611" spans="15:17" ht="12.75" x14ac:dyDescent="0.2">
      <c r="O611" s="5"/>
      <c r="P611" s="5"/>
      <c r="Q611" s="5"/>
    </row>
    <row r="612" spans="15:17" ht="12.75" x14ac:dyDescent="0.2">
      <c r="O612" s="5"/>
      <c r="P612" s="5"/>
      <c r="Q612" s="5"/>
    </row>
    <row r="613" spans="15:17" ht="12.75" x14ac:dyDescent="0.2">
      <c r="O613" s="5"/>
      <c r="P613" s="5"/>
      <c r="Q613" s="5"/>
    </row>
    <row r="614" spans="15:17" ht="12.75" x14ac:dyDescent="0.2">
      <c r="O614" s="5"/>
      <c r="P614" s="5"/>
      <c r="Q614" s="5"/>
    </row>
    <row r="615" spans="15:17" ht="12.75" x14ac:dyDescent="0.2">
      <c r="O615" s="5"/>
      <c r="P615" s="5"/>
      <c r="Q615" s="5"/>
    </row>
    <row r="616" spans="15:17" ht="12.75" x14ac:dyDescent="0.2">
      <c r="O616" s="5"/>
      <c r="P616" s="5"/>
      <c r="Q616" s="5"/>
    </row>
    <row r="617" spans="15:17" ht="12.75" x14ac:dyDescent="0.2">
      <c r="O617" s="5"/>
      <c r="P617" s="5"/>
      <c r="Q617" s="5"/>
    </row>
    <row r="618" spans="15:17" ht="12.75" x14ac:dyDescent="0.2">
      <c r="O618" s="5"/>
      <c r="P618" s="5"/>
      <c r="Q618" s="5"/>
    </row>
    <row r="619" spans="15:17" ht="12.75" x14ac:dyDescent="0.2">
      <c r="O619" s="5"/>
      <c r="P619" s="5"/>
      <c r="Q619" s="5"/>
    </row>
    <row r="620" spans="15:17" ht="12.75" x14ac:dyDescent="0.2">
      <c r="O620" s="5"/>
      <c r="P620" s="5"/>
      <c r="Q620" s="5"/>
    </row>
    <row r="621" spans="15:17" ht="12.75" x14ac:dyDescent="0.2">
      <c r="O621" s="5"/>
      <c r="P621" s="5"/>
      <c r="Q621" s="5"/>
    </row>
    <row r="622" spans="15:17" ht="12.75" x14ac:dyDescent="0.2">
      <c r="O622" s="5"/>
      <c r="P622" s="5"/>
      <c r="Q622" s="5"/>
    </row>
    <row r="623" spans="15:17" ht="12.75" x14ac:dyDescent="0.2">
      <c r="O623" s="5"/>
      <c r="P623" s="5"/>
      <c r="Q623" s="5"/>
    </row>
    <row r="624" spans="15:17" ht="12.75" x14ac:dyDescent="0.2">
      <c r="O624" s="5"/>
      <c r="P624" s="5"/>
      <c r="Q624" s="5"/>
    </row>
    <row r="625" spans="15:17" ht="12.75" x14ac:dyDescent="0.2">
      <c r="O625" s="5"/>
      <c r="P625" s="5"/>
      <c r="Q625" s="5"/>
    </row>
    <row r="626" spans="15:17" ht="12.75" x14ac:dyDescent="0.2">
      <c r="O626" s="5"/>
      <c r="P626" s="5"/>
      <c r="Q626" s="5"/>
    </row>
    <row r="627" spans="15:17" ht="12.75" x14ac:dyDescent="0.2">
      <c r="O627" s="5"/>
      <c r="P627" s="5"/>
      <c r="Q627" s="5"/>
    </row>
    <row r="628" spans="15:17" ht="12.75" x14ac:dyDescent="0.2">
      <c r="O628" s="5"/>
      <c r="P628" s="5"/>
      <c r="Q628" s="5"/>
    </row>
    <row r="629" spans="15:17" ht="12.75" x14ac:dyDescent="0.2">
      <c r="O629" s="5"/>
      <c r="P629" s="5"/>
      <c r="Q629" s="5"/>
    </row>
    <row r="630" spans="15:17" ht="12.75" x14ac:dyDescent="0.2">
      <c r="O630" s="5"/>
      <c r="P630" s="5"/>
      <c r="Q630" s="5"/>
    </row>
    <row r="631" spans="15:17" ht="12.75" x14ac:dyDescent="0.2">
      <c r="O631" s="5"/>
      <c r="P631" s="5"/>
      <c r="Q631" s="5"/>
    </row>
    <row r="632" spans="15:17" ht="12.75" x14ac:dyDescent="0.2">
      <c r="O632" s="5"/>
      <c r="P632" s="5"/>
      <c r="Q632" s="5"/>
    </row>
    <row r="633" spans="15:17" ht="12.75" x14ac:dyDescent="0.2">
      <c r="O633" s="5"/>
      <c r="P633" s="5"/>
      <c r="Q633" s="5"/>
    </row>
    <row r="634" spans="15:17" ht="12.75" x14ac:dyDescent="0.2">
      <c r="O634" s="5"/>
      <c r="P634" s="5"/>
      <c r="Q634" s="5"/>
    </row>
    <row r="635" spans="15:17" ht="12.75" x14ac:dyDescent="0.2">
      <c r="O635" s="5"/>
      <c r="P635" s="5"/>
      <c r="Q635" s="5"/>
    </row>
    <row r="636" spans="15:17" ht="12.75" x14ac:dyDescent="0.2">
      <c r="O636" s="5"/>
      <c r="P636" s="5"/>
      <c r="Q636" s="5"/>
    </row>
    <row r="637" spans="15:17" ht="12.75" x14ac:dyDescent="0.2">
      <c r="O637" s="5"/>
      <c r="P637" s="5"/>
      <c r="Q637" s="5"/>
    </row>
    <row r="638" spans="15:17" ht="12.75" x14ac:dyDescent="0.2">
      <c r="O638" s="5"/>
      <c r="P638" s="5"/>
      <c r="Q638" s="5"/>
    </row>
    <row r="639" spans="15:17" ht="12.75" x14ac:dyDescent="0.2">
      <c r="O639" s="5"/>
      <c r="P639" s="5"/>
      <c r="Q639" s="5"/>
    </row>
    <row r="640" spans="15:17" ht="12.75" x14ac:dyDescent="0.2">
      <c r="O640" s="5"/>
      <c r="P640" s="5"/>
      <c r="Q640" s="5"/>
    </row>
    <row r="641" spans="15:17" ht="12.75" x14ac:dyDescent="0.2">
      <c r="O641" s="5"/>
      <c r="P641" s="5"/>
      <c r="Q641" s="5"/>
    </row>
    <row r="642" spans="15:17" ht="12.75" x14ac:dyDescent="0.2">
      <c r="O642" s="5"/>
      <c r="P642" s="5"/>
      <c r="Q642" s="5"/>
    </row>
    <row r="643" spans="15:17" ht="12.75" x14ac:dyDescent="0.2">
      <c r="O643" s="5"/>
      <c r="P643" s="5"/>
      <c r="Q643" s="5"/>
    </row>
    <row r="644" spans="15:17" ht="12.75" x14ac:dyDescent="0.2">
      <c r="O644" s="5"/>
      <c r="P644" s="5"/>
      <c r="Q644" s="5"/>
    </row>
    <row r="645" spans="15:17" ht="12.75" x14ac:dyDescent="0.2">
      <c r="O645" s="5"/>
      <c r="P645" s="5"/>
      <c r="Q645" s="5"/>
    </row>
    <row r="646" spans="15:17" ht="12.75" x14ac:dyDescent="0.2">
      <c r="O646" s="5"/>
      <c r="P646" s="5"/>
      <c r="Q646" s="5"/>
    </row>
    <row r="647" spans="15:17" ht="12.75" x14ac:dyDescent="0.2">
      <c r="O647" s="5"/>
      <c r="P647" s="5"/>
      <c r="Q647" s="5"/>
    </row>
  </sheetData>
  <dataValidations count="16">
    <dataValidation type="list" allowBlank="1" showErrorMessage="1" sqref="J31" xr:uid="{00000000-0002-0000-0300-000000000000}">
      <formula1>"Hợi,Giang,Zang,My,Nga,Nam Nguyen,Lan Anh,Đức,D. Hạnh,Henry,Trúc"</formula1>
    </dataValidation>
    <dataValidation type="list" allowBlank="1" showErrorMessage="1" sqref="I1:J1" xr:uid="{00000000-0002-0000-0300-000001000000}">
      <formula1>"MKT,Quét Inbox,Quét like,Hotline,ZALO OA,messeger,Website"</formula1>
    </dataValidation>
    <dataValidation type="list" allowBlank="1" showErrorMessage="1" sqref="P1:P647" xr:uid="{00000000-0002-0000-0300-000002000000}">
      <formula1>"Nét,Quan tâm,Tài chính yếu,Không nhu cầu,KLLD,Tìm hiểu,Gọi lại sau,Bệnh nặng, sai tệp"</formula1>
    </dataValidation>
    <dataValidation type="list" allowBlank="1" showErrorMessage="1" sqref="J30" xr:uid="{00000000-0002-0000-0300-000003000000}">
      <formula1>"Hợi,Tú Anh,My,Nam Nguyen,D. Hạnh,Trúc"</formula1>
    </dataValidation>
    <dataValidation type="list" allowBlank="1" showErrorMessage="1" sqref="I2:I29 I32:I34" xr:uid="{00000000-0002-0000-0300-000004000000}">
      <formula1>"MKT,Quét Inbox,Quét like,Hotline"</formula1>
    </dataValidation>
    <dataValidation type="list" allowBlank="1" showErrorMessage="1" sqref="C31" xr:uid="{00000000-0002-0000-0300-000005000000}">
      <formula1>"Đức,Hợi,Shibuya miền Nam,AL Clinic miền Bắc,LVP,LVM,landing page"</formula1>
    </dataValidation>
    <dataValidation type="list" allowBlank="1" showErrorMessage="1" sqref="O2:O647" xr:uid="{00000000-0002-0000-0300-000006000000}">
      <formula1>"TP.HCM,TỈNH,Hà Nội "</formula1>
    </dataValidation>
    <dataValidation type="list" allowBlank="1" showErrorMessage="1" sqref="F25:F34" xr:uid="{00000000-0002-0000-0300-000007000000}">
      <formula1>"Khoa,TBG Nhật ,tiểu đường,tự ib,miền Nam,TBG Sing,XK Nhật,XK 0 tuổi,Viên uống,website,trẻ hóa 0 tuổi,tự inbox,depoxy,gói khám đột quỵ, gói khám tiểu đường,gói khám gan,gói khám cổ vai gáy,quà tặng ,TBG nhật-sing"</formula1>
    </dataValidation>
    <dataValidation type="list" allowBlank="1" showErrorMessage="1" sqref="Q1:Q647" xr:uid="{00000000-0002-0000-0300-000008000000}">
      <formula1>"Close,Show,Follow,Booking,Missed"</formula1>
    </dataValidation>
    <dataValidation type="list" allowBlank="1" showErrorMessage="1" sqref="J35:J441" xr:uid="{00000000-0002-0000-0300-000009000000}">
      <formula1>"Hợi,Giang,Zang,My,Nga,Nam Nguyen,Lan Anh,Đức,D. Hạnh,Trúc,Tú Anh,CHUYỂN SG"</formula1>
    </dataValidation>
    <dataValidation type="list" allowBlank="1" showErrorMessage="1" sqref="C43:C45" xr:uid="{00000000-0002-0000-0300-00000A000000}">
      <formula1>"Đức,Hợi,Shibuya miền Nam,bác Thắng,landing page"</formula1>
    </dataValidation>
    <dataValidation type="list" allowBlank="1" showErrorMessage="1" sqref="K42:K441" xr:uid="{00000000-0002-0000-0300-00000B000000}">
      <formula1>"Hợi,Tú Anh,My,Nam Nguyen,D. Hạnh,Trúc,Mai Anh,Hoành Đức"</formula1>
    </dataValidation>
    <dataValidation type="list" allowBlank="1" showErrorMessage="1" sqref="J2:K29 K30:K31 J32:K34 K35:K41" xr:uid="{00000000-0002-0000-0300-00000C000000}">
      <formula1>"Hợi,Đỗ Hương,Mai Anh,Trúc ,Nam,Tú Anh,My,Diệu hạnh,Hoành Đức"</formula1>
    </dataValidation>
    <dataValidation type="list" allowBlank="1" showErrorMessage="1" sqref="I30:I31 I35:I46" xr:uid="{00000000-0002-0000-0300-00000D000000}">
      <formula1>"MKT,Quét Inbox,Quét like,Hotline,ZALO OA,messeger,Website,gói khám cổ vai gáy"</formula1>
    </dataValidation>
    <dataValidation type="list" allowBlank="1" showErrorMessage="1" sqref="F2:F23 G25" xr:uid="{00000000-0002-0000-0300-00000E000000}">
      <formula1>"TBG"</formula1>
    </dataValidation>
    <dataValidation type="list" allowBlank="1" showErrorMessage="1" sqref="F35:F45" xr:uid="{00000000-0002-0000-0300-00000F000000}">
      <formula1>"Khoa,TBG Nhật ,tiểu đường,tự ib,miền Nam,TBG Sing,XK Nhật,XK 0 tuổi,Viên uống,website,trẻ hóa 0 tuổi,tự inbox,TBG nhật-sing"</formula1>
    </dataValidation>
  </dataValidations>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 ref="H19" r:id="rId18" xr:uid="{00000000-0004-0000-0300-000011000000}"/>
    <hyperlink ref="H20" r:id="rId19" xr:uid="{00000000-0004-0000-0300-000012000000}"/>
    <hyperlink ref="H21" r:id="rId20" xr:uid="{00000000-0004-0000-0300-000013000000}"/>
    <hyperlink ref="H22" r:id="rId21" xr:uid="{00000000-0004-0000-0300-000014000000}"/>
    <hyperlink ref="H23" r:id="rId22" xr:uid="{00000000-0004-0000-0300-000015000000}"/>
    <hyperlink ref="H24" r:id="rId23" xr:uid="{00000000-0004-0000-0300-000016000000}"/>
    <hyperlink ref="G25" r:id="rId24" xr:uid="{00000000-0004-0000-0300-000017000000}"/>
    <hyperlink ref="H25" r:id="rId25" xr:uid="{00000000-0004-0000-0300-000018000000}"/>
    <hyperlink ref="H26" r:id="rId26" xr:uid="{00000000-0004-0000-0300-000019000000}"/>
    <hyperlink ref="H27" r:id="rId27" xr:uid="{00000000-0004-0000-0300-00001A000000}"/>
    <hyperlink ref="H28" r:id="rId28" xr:uid="{00000000-0004-0000-0300-00001B000000}"/>
    <hyperlink ref="H29" r:id="rId29" xr:uid="{00000000-0004-0000-0300-00001C000000}"/>
    <hyperlink ref="H30" r:id="rId30" xr:uid="{00000000-0004-0000-0300-00001D000000}"/>
    <hyperlink ref="H31" r:id="rId31" xr:uid="{00000000-0004-0000-0300-00001E000000}"/>
    <hyperlink ref="H32" r:id="rId32" xr:uid="{00000000-0004-0000-0300-00001F000000}"/>
    <hyperlink ref="H33" r:id="rId33" xr:uid="{00000000-0004-0000-0300-000020000000}"/>
    <hyperlink ref="H34" r:id="rId34" xr:uid="{00000000-0004-0000-0300-000021000000}"/>
    <hyperlink ref="H35" r:id="rId35" xr:uid="{00000000-0004-0000-0300-000022000000}"/>
    <hyperlink ref="H36" r:id="rId36" xr:uid="{00000000-0004-0000-0300-000023000000}"/>
    <hyperlink ref="H37" r:id="rId37" xr:uid="{00000000-0004-0000-0300-000024000000}"/>
    <hyperlink ref="H38" r:id="rId38" xr:uid="{00000000-0004-0000-0300-000025000000}"/>
    <hyperlink ref="H39" r:id="rId39" xr:uid="{00000000-0004-0000-0300-000026000000}"/>
    <hyperlink ref="H40" r:id="rId40" xr:uid="{00000000-0004-0000-0300-000027000000}"/>
    <hyperlink ref="H41" r:id="rId41" xr:uid="{00000000-0004-0000-0300-000028000000}"/>
    <hyperlink ref="H42" r:id="rId42" xr:uid="{00000000-0004-0000-0300-000029000000}"/>
    <hyperlink ref="H43" r:id="rId43" xr:uid="{00000000-0004-0000-0300-00002A000000}"/>
    <hyperlink ref="H44" r:id="rId44" xr:uid="{00000000-0004-0000-0300-00002B000000}"/>
    <hyperlink ref="H45" r:id="rId45" xr:uid="{00000000-0004-0000-0300-00002C000000}"/>
    <hyperlink ref="H46" r:id="rId46" xr:uid="{00000000-0004-0000-0300-00002D000000}"/>
    <hyperlink ref="H47" r:id="rId47" xr:uid="{00000000-0004-0000-0300-00002E000000}"/>
    <hyperlink ref="H48" r:id="rId48" xr:uid="{00000000-0004-0000-0300-00002F000000}"/>
    <hyperlink ref="H49" r:id="rId49" xr:uid="{00000000-0004-0000-0300-000030000000}"/>
    <hyperlink ref="H50" r:id="rId50" xr:uid="{00000000-0004-0000-0300-000031000000}"/>
    <hyperlink ref="H51" r:id="rId51" xr:uid="{00000000-0004-0000-0300-000032000000}"/>
    <hyperlink ref="H52" r:id="rId52" xr:uid="{00000000-0004-0000-0300-000033000000}"/>
    <hyperlink ref="H53" r:id="rId53" xr:uid="{00000000-0004-0000-0300-000034000000}"/>
    <hyperlink ref="H54" r:id="rId54" xr:uid="{00000000-0004-0000-0300-000035000000}"/>
    <hyperlink ref="H55" r:id="rId55" xr:uid="{00000000-0004-0000-0300-000036000000}"/>
    <hyperlink ref="H56" r:id="rId56" xr:uid="{00000000-0004-0000-0300-000037000000}"/>
    <hyperlink ref="H57" r:id="rId57" xr:uid="{00000000-0004-0000-0300-000038000000}"/>
    <hyperlink ref="H58" r:id="rId58" xr:uid="{00000000-0004-0000-0300-000039000000}"/>
    <hyperlink ref="H59" r:id="rId59" xr:uid="{00000000-0004-0000-0300-00003A000000}"/>
    <hyperlink ref="H61" r:id="rId60" xr:uid="{00000000-0004-0000-0300-00003B000000}"/>
    <hyperlink ref="H63" r:id="rId61" xr:uid="{00000000-0004-0000-0300-00003C000000}"/>
    <hyperlink ref="H64" r:id="rId62" xr:uid="{00000000-0004-0000-0300-00003D000000}"/>
    <hyperlink ref="H65" r:id="rId63" xr:uid="{00000000-0004-0000-0300-00003E000000}"/>
    <hyperlink ref="H66" r:id="rId64" xr:uid="{00000000-0004-0000-0300-00003F000000}"/>
    <hyperlink ref="H67" r:id="rId65" xr:uid="{00000000-0004-0000-0300-000040000000}"/>
    <hyperlink ref="H68" r:id="rId66" xr:uid="{00000000-0004-0000-0300-00004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Hoi take Data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Tumeplais Endearing</cp:lastModifiedBy>
  <dcterms:created xsi:type="dcterms:W3CDTF">2026-07-29T04:04:51Z</dcterms:created>
  <dcterms:modified xsi:type="dcterms:W3CDTF">2026-07-29T04:05:27Z</dcterms:modified>
</cp:coreProperties>
</file>